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4870dabbbfce93a/Documents/"/>
    </mc:Choice>
  </mc:AlternateContent>
  <xr:revisionPtr revIDLastSave="2" documentId="8_{FFCBB2D5-7964-4B40-947D-F7053E8B426F}" xr6:coauthVersionLast="47" xr6:coauthVersionMax="47" xr10:uidLastSave="{24DE4410-610F-4E3A-9A33-BFD58D2E578C}"/>
  <bookViews>
    <workbookView xWindow="-108" yWindow="-108" windowWidth="23256" windowHeight="12456" activeTab="1" xr2:uid="{BC9B519E-BE4E-463D-8276-D7B240E571AF}"/>
  </bookViews>
  <sheets>
    <sheet name="Pivot" sheetId="1" r:id="rId1"/>
    <sheet name="Dashboard" sheetId="2" r:id="rId2"/>
    <sheet name="Average wait time trend" sheetId="4" r:id="rId3"/>
    <sheet name="Satisfaction score daily trend" sheetId="6" r:id="rId4"/>
    <sheet name="Sheet2" sheetId="5" r:id="rId5"/>
    <sheet name="Daily ER no of patients" sheetId="3"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b5993f03-fc6a-45df-910d-b687aa06fe08" name="Hospital Emergency Room Data  1" connection="Query - Hospital Emergency Room Data (1)"/>
          <x15:modelTable id="Calendar_Table_4b1e821e-cc21-43cc-a2c5-22cc0d447f5d"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 l="1"/>
  <c r="A46" i="1"/>
  <c r="A47" i="1"/>
  <c r="C46" i="1"/>
  <c r="B46" i="1"/>
  <c r="B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E289BE-7206-4457-B60D-E8E1DB4F2DCE}" name="Query - Calendar_Table" description="Connection to the 'Calendar_Table' query in the workbook." type="100" refreshedVersion="8" minRefreshableVersion="5">
    <extLst>
      <ext xmlns:x15="http://schemas.microsoft.com/office/spreadsheetml/2010/11/main" uri="{DE250136-89BD-433C-8126-D09CA5730AF9}">
        <x15:connection id="ade9c969-75e7-4918-8f3b-4f8569ebf64a"/>
      </ext>
    </extLst>
  </connection>
  <connection id="2" xr16:uid="{1AC637D0-AA27-4896-A8D9-26285A2C9E83}"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fa41e1b0-ec5e-47bc-9438-fb2fb8b6b7f4">
          <x15:oledbPr connection="Provider=Microsoft.Mashup.OleDb.1;Data Source=$Workbook$;Location=&quot;Hospital Emergency Room Data (1)&quot;;Extended Properties=&quot;&quot;">
            <x15:dbTables>
              <x15:dbTable name="Hospital Emergency Room Data (1)"/>
            </x15:dbTables>
          </x15:oledbPr>
        </x15:connection>
      </ext>
    </extLst>
  </connection>
  <connection id="3" xr16:uid="{20CAD3ED-AEAD-4505-8A09-B419DC286C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<sst xmlns="http://schemas.openxmlformats.org/spreadsheetml/2006/main" count="162" uniqueCount="80">
  <si>
    <t>Distinct Count of Patient Id</t>
  </si>
  <si>
    <t>No. of patients</t>
  </si>
  <si>
    <t>Average of Patient Wait time</t>
  </si>
  <si>
    <t>Average of Patient Satisfaction Score</t>
  </si>
  <si>
    <t>Row Labels</t>
  </si>
  <si>
    <t>Grand Total</t>
  </si>
  <si>
    <t>for daily trend with and area sparkline to spot patterns like busy days or seasonal trends</t>
  </si>
  <si>
    <t>daily trends of number of patients</t>
  </si>
  <si>
    <t>Average number of patients each day</t>
  </si>
  <si>
    <t>tap on home button to return back to dashboard</t>
  </si>
  <si>
    <t xml:space="preserve">area chat for </t>
  </si>
  <si>
    <t xml:space="preserve"> for average wait time trend</t>
  </si>
  <si>
    <t xml:space="preserve"> </t>
  </si>
  <si>
    <t>Satisfaction score as per daily trend</t>
  </si>
  <si>
    <t>Count of Patient Attend Status</t>
  </si>
  <si>
    <t>Count of Patient Admission Flag</t>
  </si>
  <si>
    <t>Admitted</t>
  </si>
  <si>
    <t>Non Admitted</t>
  </si>
  <si>
    <t>Admission  Status</t>
  </si>
  <si>
    <t>%Satisfaction score</t>
  </si>
  <si>
    <t>0-09</t>
  </si>
  <si>
    <t>10-19</t>
  </si>
  <si>
    <t>20-29</t>
  </si>
  <si>
    <t>30-39</t>
  </si>
  <si>
    <t>40-49</t>
  </si>
  <si>
    <t>50-59</t>
  </si>
  <si>
    <t>60-69</t>
  </si>
  <si>
    <t>70-79</t>
  </si>
  <si>
    <t>Count of Age Group</t>
  </si>
  <si>
    <t>patient age group</t>
  </si>
  <si>
    <t>Count of Patient Id</t>
  </si>
  <si>
    <t>Delay</t>
  </si>
  <si>
    <t>Ontime</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</si>
  <si>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</si>
  <si>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</si>
  <si>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</si>
  <si>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</si>
  <si>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</si>
  <si>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</si>
  <si>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</si>
  <si>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</si>
  <si>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</si>
  <si>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</si>
  <si>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</si>
  <si>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</si>
  <si>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</si>
  <si>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</si>
  <si>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</si>
  <si>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</si>
  <si>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</si>
  <si>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</si>
  <si>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</si>
  <si>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</si>
  <si>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</si>
  <si>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</si>
  <si>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</si>
  <si>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</si>
  <si>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</si>
  <si>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</si>
  <si>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</si>
  <si>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</si>
  <si>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</si>
  <si>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</si>
  <si>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</si>
  <si>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patient attendance status</t>
  </si>
  <si>
    <t>Female</t>
  </si>
  <si>
    <t>Male</t>
  </si>
  <si>
    <t>Count of Patient Gender</t>
  </si>
  <si>
    <t>Cardiology</t>
  </si>
  <si>
    <t>Gastroenterology</t>
  </si>
  <si>
    <t>General Practice</t>
  </si>
  <si>
    <t>Neurology</t>
  </si>
  <si>
    <t>None</t>
  </si>
  <si>
    <t>Orthopedics</t>
  </si>
  <si>
    <t>Physiotherapy</t>
  </si>
  <si>
    <t>Renal</t>
  </si>
  <si>
    <t>Count of Department Referral</t>
  </si>
  <si>
    <t>2023</t>
  </si>
  <si>
    <t>Qtr4</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</si>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</sst>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9" fontId="0" fillId="0" borderId="0" xfId="0" applyNumberFormat="1"/>
    <xf numFmtId="0" fontId="0" fillId="3" borderId="0" xfId="0" applyFill="1" applyAlignment="1">
      <alignment horizontal="center" vertical="center"/>
    </xf>
    <xf numFmtId="0" fontId="0" fillId="0" borderId="0" xfId="0" applyAlignment="1">
      <alignment horizontal="center" vertical="center"/>
    </xf>
    <xf numFmtId="9" fontId="0" fillId="0" borderId="0" xfId="0" applyNumberFormat="1" applyAlignment="1">
      <alignment horizontal="center" vertic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cellXfs>
  <cellStyles count="1">
    <cellStyle name="Normal" xfId="0" builtinId="0"/>
  </cellStyles>
  <dxfs count="15">
    <dxf>
      <numFmt numFmtId="2" formatCode="0.00"/>
    </dxf>
    <dxf>
      <numFmt numFmtId="1" formatCode="0"/>
    </dxf>
    <dxf>
      <numFmt numFmtId="1" formatCode="0"/>
    </dxf>
    <dxf>
      <numFmt numFmtId="1" formatCode="0"/>
    </dxf>
    <dxf>
      <numFmt numFmtId="1" formatCode="0"/>
    </dxf>
    <dxf>
      <numFmt numFmtId="13" formatCode="0%"/>
    </dxf>
    <dxf>
      <numFmt numFmtId="13" formatCode="0%"/>
    </dxf>
    <dxf>
      <numFmt numFmtId="14" formatCode="0.00%"/>
    </dxf>
    <dxf>
      <numFmt numFmtId="1" formatCode="0"/>
    </dxf>
    <dxf>
      <numFmt numFmtId="1" formatCode="0"/>
    </dxf>
    <dxf>
      <numFmt numFmtId="2" formatCode="0.00"/>
    </dxf>
    <dxf>
      <numFmt numFmtId="2" formatCode="0.00"/>
    </dxf>
    <dxf>
      <numFmt numFmtId="2" formatCode="0.00"/>
    </dxf>
    <dxf>
      <font>
        <b/>
        <color theme="1"/>
      </font>
      <border>
        <bottom style="thin">
          <color theme="4"/>
        </bottom>
        <vertical/>
        <horizontal/>
      </border>
    </dxf>
    <dxf>
      <font>
        <sz val="8"/>
        <color theme="1"/>
      </font>
      <fill>
        <patternFill>
          <bgColor theme="7"/>
        </patternFill>
      </fill>
      <border diagonalUp="0" diagonalDown="0">
        <left/>
        <right/>
        <top/>
        <bottom/>
        <vertical/>
        <horizontal/>
      </border>
    </dxf>
  </dxfs>
  <tableStyles count="1" defaultTableStyle="TableStyleMedium2" defaultPivotStyle="PivotStyleLight16">
    <tableStyle name="My style" pivot="0" table="0" count="10" xr9:uid="{707C1469-6F50-4C5E-A661-D93D43DCC5E6}">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000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FF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7"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excel.xlsx]Pivot!PivotTable5</c:name>
    <c:fmtId val="6"/>
  </c:pivotSource>
  <c:chart>
    <c:autoTitleDeleted val="0"/>
    <c:pivotFmts>
      <c:pivotFmt>
        <c:idx val="0"/>
        <c:spPr>
          <a:solidFill>
            <a:schemeClr val="accent1"/>
          </a:solidFill>
          <a:ln w="47625">
            <a:solidFill>
              <a:schemeClr val="accen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47625">
            <a:solidFill>
              <a:schemeClr val="accent1"/>
            </a:solidFill>
          </a:ln>
          <a:effectLst/>
        </c:spPr>
        <c:dLbl>
          <c:idx val="0"/>
          <c:tx>
            <c:rich>
              <a:bodyPr wrap="square" lIns="38100" tIns="19050" rIns="38100" bIns="19050" anchor="ctr">
                <a:spAutoFit/>
              </a:bodyPr>
              <a:lstStyle/>
              <a:p>
                <a:pPr>
                  <a:defRPr/>
                </a:pPr>
                <a:fld id="{F3B219EE-85EA-4BDD-8383-328E6EB00C4E}" type="CELLRANGE">
                  <a:rPr lang="en-US"/>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
          <c:y val="0.24444444444444444"/>
          <c:w val="0.83783783783783783"/>
          <c:h val="0.51111111111111107"/>
        </c:manualLayout>
      </c:layout>
      <c:barChart>
        <c:barDir val="bar"/>
        <c:grouping val="clustered"/>
        <c:varyColors val="0"/>
        <c:ser>
          <c:idx val="0"/>
          <c:order val="0"/>
          <c:tx>
            <c:strRef>
              <c:f>Pivot!$B$40</c:f>
              <c:strCache>
                <c:ptCount val="1"/>
                <c:pt idx="0">
                  <c:v>Count of Patient Admission Flag</c:v>
                </c:pt>
              </c:strCache>
            </c:strRef>
          </c:tx>
          <c:spPr>
            <a:solidFill>
              <a:schemeClr val="accent1"/>
            </a:solidFill>
            <a:ln w="47625">
              <a:solidFill>
                <a:schemeClr val="accent1"/>
              </a:solidFill>
            </a:ln>
            <a:effectLst/>
          </c:spPr>
          <c:invertIfNegative val="0"/>
          <c:dPt>
            <c:idx val="0"/>
            <c:invertIfNegative val="0"/>
            <c:bubble3D val="0"/>
            <c:extLst>
              <c:ext xmlns:c16="http://schemas.microsoft.com/office/drawing/2014/chart" uri="{C3380CC4-5D6E-409C-BE32-E72D297353CC}">
                <c16:uniqueId val="{00000000-7A21-4E0F-99A6-84330F23CA80}"/>
              </c:ext>
            </c:extLst>
          </c:dPt>
          <c:dPt>
            <c:idx val="1"/>
            <c:invertIfNegative val="0"/>
            <c:bubble3D val="0"/>
            <c:extLst>
              <c:ext xmlns:c16="http://schemas.microsoft.com/office/drawing/2014/chart" uri="{C3380CC4-5D6E-409C-BE32-E72D297353CC}">
                <c16:uniqueId val="{00000001-7A21-4E0F-99A6-84330F23CA80}"/>
              </c:ext>
            </c:extLst>
          </c:dPt>
          <c:dLbls>
            <c:dLbl>
              <c:idx val="1"/>
              <c:tx>
                <c:rich>
                  <a:bodyPr/>
                  <a:lstStyle/>
                  <a:p>
                    <a:fld id="{F3B219EE-85EA-4BDD-8383-328E6EB00C4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A21-4E0F-99A6-84330F23CA80}"/>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Pivot!$A$41:$A$43</c:f>
              <c:strCache>
                <c:ptCount val="2"/>
                <c:pt idx="0">
                  <c:v>Admitted</c:v>
                </c:pt>
                <c:pt idx="1">
                  <c:v>Non Admitted</c:v>
                </c:pt>
              </c:strCache>
            </c:strRef>
          </c:cat>
          <c:val>
            <c:numRef>
              <c:f>Pivot!$B$41:$B$43</c:f>
              <c:numCache>
                <c:formatCode>0</c:formatCode>
                <c:ptCount val="2"/>
                <c:pt idx="0">
                  <c:v>250</c:v>
                </c:pt>
                <c:pt idx="1">
                  <c:v>239</c:v>
                </c:pt>
              </c:numCache>
            </c:numRef>
          </c:val>
          <c:extLst>
            <c:ext xmlns:c16="http://schemas.microsoft.com/office/drawing/2014/chart" uri="{C3380CC4-5D6E-409C-BE32-E72D297353CC}">
              <c16:uniqueId val="{00000009-E134-4FB8-BD12-E44AB737724D}"/>
            </c:ext>
          </c:extLst>
        </c:ser>
        <c:ser>
          <c:idx val="1"/>
          <c:order val="1"/>
          <c:tx>
            <c:strRef>
              <c:f>Pivot!$C$40</c:f>
              <c:strCache>
                <c:ptCount val="1"/>
                <c:pt idx="0">
                  <c:v>Count of Patient Attend Status</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Pivot!$A$41:$A$43</c:f>
              <c:strCache>
                <c:ptCount val="2"/>
                <c:pt idx="0">
                  <c:v>Admitted</c:v>
                </c:pt>
                <c:pt idx="1">
                  <c:v>Non Admitted</c:v>
                </c:pt>
              </c:strCache>
            </c:strRef>
          </c:cat>
          <c:val>
            <c:numRef>
              <c:f>Pivot!$C$41:$C$43</c:f>
              <c:numCache>
                <c:formatCode>0%</c:formatCode>
                <c:ptCount val="2"/>
                <c:pt idx="0">
                  <c:v>0.5112474437627812</c:v>
                </c:pt>
                <c:pt idx="1">
                  <c:v>0.4887525562372188</c:v>
                </c:pt>
              </c:numCache>
            </c:numRef>
          </c:val>
          <c:extLst>
            <c:ext xmlns:c16="http://schemas.microsoft.com/office/drawing/2014/chart" uri="{C3380CC4-5D6E-409C-BE32-E72D297353CC}">
              <c16:uniqueId val="{0000000A-E134-4FB8-BD12-E44AB737724D}"/>
            </c:ext>
          </c:extLst>
        </c:ser>
        <c:dLbls>
          <c:dLblPos val="outEnd"/>
          <c:showLegendKey val="0"/>
          <c:showVal val="1"/>
          <c:showCatName val="0"/>
          <c:showSerName val="0"/>
          <c:showPercent val="0"/>
          <c:showBubbleSize val="0"/>
        </c:dLbls>
        <c:gapWidth val="182"/>
        <c:axId val="224129439"/>
        <c:axId val="247253199"/>
      </c:barChart>
      <c:catAx>
        <c:axId val="224129439"/>
        <c:scaling>
          <c:orientation val="minMax"/>
        </c:scaling>
        <c:delete val="1"/>
        <c:axPos val="l"/>
        <c:numFmt formatCode="General" sourceLinked="1"/>
        <c:majorTickMark val="none"/>
        <c:minorTickMark val="none"/>
        <c:tickLblPos val="nextTo"/>
        <c:crossAx val="247253199"/>
        <c:crosses val="autoZero"/>
        <c:auto val="1"/>
        <c:lblAlgn val="ctr"/>
        <c:lblOffset val="100"/>
        <c:noMultiLvlLbl val="0"/>
      </c:catAx>
      <c:valAx>
        <c:axId val="247253199"/>
        <c:scaling>
          <c:orientation val="minMax"/>
        </c:scaling>
        <c:delete val="1"/>
        <c:axPos val="b"/>
        <c:numFmt formatCode="0" sourceLinked="1"/>
        <c:majorTickMark val="none"/>
        <c:minorTickMark val="none"/>
        <c:tickLblPos val="nextTo"/>
        <c:crossAx val="22412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excel.xlsx]Pivot!PivotTable11</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Pivot!$L$57:$L$65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Pivot!$M$57:$M$65</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3-326B-4B8A-97ED-8A1AB67AB211}"/>
            </c:ext>
          </c:extLst>
        </c:ser>
        <c:dLbls>
          <c:dLblPos val="outEnd"/>
          <c:showLegendKey val="0"/>
          <c:showVal val="1"/>
          <c:showCatName val="0"/>
          <c:showSerName val="0"/>
          <c:showPercent val="0"/>
          <c:showBubbleSize val="0"/>
        </c:dLbls>
        <c:gapWidth val="182"/>
        <c:axId val="1994650639"/>
        <c:axId val="2071385167"/>
      </c:barChart>
      <c:catAx>
        <c:axId val="19946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385167"/>
        <c:crosses val="autoZero"/>
        <c:auto val="1"/>
        <c:lblAlgn val="ctr"/>
        <c:lblOffset val="100"/>
        <c:noMultiLvlLbl val="0"/>
      </c:catAx>
      <c:valAx>
        <c:axId val="2071385167"/>
        <c:scaling>
          <c:orientation val="minMax"/>
        </c:scaling>
        <c:delete val="1"/>
        <c:axPos val="b"/>
        <c:numFmt formatCode="0" sourceLinked="1"/>
        <c:majorTickMark val="none"/>
        <c:minorTickMark val="none"/>
        <c:tickLblPos val="nextTo"/>
        <c:crossAx val="1994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54599880639056E-2"/>
          <c:y val="9.6818810511756573E-2"/>
          <c:w val="0.8499232679653167"/>
          <c:h val="0.68143834199148345"/>
        </c:manualLayout>
      </c:layout>
      <c:areaChart>
        <c:grouping val="standard"/>
        <c:varyColors val="0"/>
        <c:ser>
          <c:idx val="0"/>
          <c:order val="0"/>
          <c:tx>
            <c:strRef>
              <c:f>Pivot!$D$5</c:f>
              <c:strCache>
                <c:ptCount val="1"/>
                <c:pt idx="0">
                  <c:v>Total</c:v>
                </c:pt>
              </c:strCache>
            </c:strRef>
          </c:tx>
          <c:spPr>
            <a:solidFill>
              <a:schemeClr val="accent1"/>
            </a:solidFill>
            <a:ln w="25400">
              <a:noFill/>
            </a:ln>
            <a:effectLst/>
          </c:spPr>
          <c:cat>
            <c:strRef>
              <c:f>Pivot!$C$6:$C$37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Pivot!$D$6:$D$37</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2-14F5-4B29-A117-311AA5A75E5C}"/>
            </c:ext>
          </c:extLst>
        </c:ser>
        <c:dLbls>
          <c:showLegendKey val="0"/>
          <c:showVal val="0"/>
          <c:showCatName val="0"/>
          <c:showSerName val="0"/>
          <c:showPercent val="0"/>
          <c:showBubbleSize val="0"/>
        </c:dLbls>
        <c:axId val="486467952"/>
        <c:axId val="42631407"/>
      </c:areaChart>
      <c:catAx>
        <c:axId val="486467952"/>
        <c:scaling>
          <c:orientation val="minMax"/>
        </c:scaling>
        <c:delete val="1"/>
        <c:axPos val="b"/>
        <c:numFmt formatCode="General" sourceLinked="1"/>
        <c:majorTickMark val="out"/>
        <c:minorTickMark val="none"/>
        <c:tickLblPos val="nextTo"/>
        <c:crossAx val="42631407"/>
        <c:crosses val="autoZero"/>
        <c:auto val="1"/>
        <c:lblAlgn val="ctr"/>
        <c:lblOffset val="100"/>
        <c:noMultiLvlLbl val="0"/>
      </c:catAx>
      <c:valAx>
        <c:axId val="42631407"/>
        <c:scaling>
          <c:orientation val="minMax"/>
        </c:scaling>
        <c:delete val="1"/>
        <c:axPos val="l"/>
        <c:numFmt formatCode="General" sourceLinked="1"/>
        <c:majorTickMark val="none"/>
        <c:minorTickMark val="none"/>
        <c:tickLblPos val="nextTo"/>
        <c:crossAx val="48646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84461368558438E-3"/>
          <c:y val="0.13619629783119216"/>
          <c:w val="0.99642159555636944"/>
          <c:h val="0.84227625172807596"/>
        </c:manualLayout>
      </c:layout>
      <c:areaChart>
        <c:grouping val="standard"/>
        <c:varyColors val="0"/>
        <c:ser>
          <c:idx val="0"/>
          <c:order val="0"/>
          <c:tx>
            <c:strRef>
              <c:f>Pivot!$H$5</c:f>
              <c:strCache>
                <c:ptCount val="1"/>
                <c:pt idx="0">
                  <c:v>Total</c:v>
                </c:pt>
              </c:strCache>
            </c:strRef>
          </c:tx>
          <c:spPr>
            <a:solidFill>
              <a:schemeClr val="accent1"/>
            </a:solidFill>
            <a:ln w="25400">
              <a:noFill/>
            </a:ln>
            <a:effectLst/>
          </c:spPr>
          <c:cat>
            <c:strRef>
              <c:f>Pivot!$G$6:$G$37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Pivot!$H$6:$H$37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2-8935-44D7-9BE7-CA29AFE73387}"/>
            </c:ext>
          </c:extLst>
        </c:ser>
        <c:dLbls>
          <c:showLegendKey val="0"/>
          <c:showVal val="0"/>
          <c:showCatName val="0"/>
          <c:showSerName val="0"/>
          <c:showPercent val="0"/>
          <c:showBubbleSize val="0"/>
        </c:dLbls>
        <c:axId val="173520432"/>
        <c:axId val="139059951"/>
      </c:areaChart>
      <c:catAx>
        <c:axId val="173520432"/>
        <c:scaling>
          <c:orientation val="minMax"/>
        </c:scaling>
        <c:delete val="1"/>
        <c:axPos val="b"/>
        <c:numFmt formatCode="General" sourceLinked="1"/>
        <c:majorTickMark val="out"/>
        <c:minorTickMark val="none"/>
        <c:tickLblPos val="nextTo"/>
        <c:crossAx val="139059951"/>
        <c:crosses val="autoZero"/>
        <c:auto val="1"/>
        <c:lblAlgn val="ctr"/>
        <c:lblOffset val="100"/>
        <c:noMultiLvlLbl val="0"/>
      </c:catAx>
      <c:valAx>
        <c:axId val="139059951"/>
        <c:scaling>
          <c:orientation val="minMax"/>
        </c:scaling>
        <c:delete val="1"/>
        <c:axPos val="l"/>
        <c:numFmt formatCode="0.00" sourceLinked="1"/>
        <c:majorTickMark val="none"/>
        <c:minorTickMark val="none"/>
        <c:tickLblPos val="nextTo"/>
        <c:crossAx val="173520432"/>
        <c:crosses val="autoZero"/>
        <c:crossBetween val="midCat"/>
      </c:valAx>
      <c:spPr>
        <a:solidFill>
          <a:schemeClr val="tx2">
            <a:lumMod val="10000"/>
            <a:lumOff val="9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4461942257218E-3"/>
          <c:y val="0.24270154682441344"/>
          <c:w val="0.99027788713910758"/>
          <c:h val="0.75729845317558653"/>
        </c:manualLayout>
      </c:layout>
      <c:areaChart>
        <c:grouping val="standard"/>
        <c:varyColors val="0"/>
        <c:ser>
          <c:idx val="0"/>
          <c:order val="0"/>
          <c:tx>
            <c:strRef>
              <c:f>Pivot!$N$6</c:f>
              <c:strCache>
                <c:ptCount val="1"/>
                <c:pt idx="0">
                  <c:v>Total</c:v>
                </c:pt>
              </c:strCache>
            </c:strRef>
          </c:tx>
          <c:spPr>
            <a:solidFill>
              <a:schemeClr val="accent1"/>
            </a:solidFill>
            <a:ln w="25400">
              <a:noFill/>
            </a:ln>
            <a:effectLst/>
          </c:spPr>
          <c:cat>
            <c:strRef>
              <c:f>Pivot!$M$7:$M$36</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Pivot!$N$7:$N$36</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2-C6A5-4E81-BC25-94479F403B34}"/>
            </c:ext>
          </c:extLst>
        </c:ser>
        <c:dLbls>
          <c:showLegendKey val="0"/>
          <c:showVal val="0"/>
          <c:showCatName val="0"/>
          <c:showSerName val="0"/>
          <c:showPercent val="0"/>
          <c:showBubbleSize val="0"/>
        </c:dLbls>
        <c:axId val="299395375"/>
        <c:axId val="301311599"/>
      </c:areaChart>
      <c:catAx>
        <c:axId val="299395375"/>
        <c:scaling>
          <c:orientation val="minMax"/>
        </c:scaling>
        <c:delete val="1"/>
        <c:axPos val="b"/>
        <c:numFmt formatCode="General" sourceLinked="1"/>
        <c:majorTickMark val="out"/>
        <c:minorTickMark val="none"/>
        <c:tickLblPos val="nextTo"/>
        <c:crossAx val="301311599"/>
        <c:crosses val="autoZero"/>
        <c:auto val="1"/>
        <c:lblAlgn val="ctr"/>
        <c:lblOffset val="100"/>
        <c:noMultiLvlLbl val="0"/>
      </c:catAx>
      <c:valAx>
        <c:axId val="301311599"/>
        <c:scaling>
          <c:orientation val="minMax"/>
        </c:scaling>
        <c:delete val="1"/>
        <c:axPos val="l"/>
        <c:numFmt formatCode="0.00" sourceLinked="1"/>
        <c:majorTickMark val="none"/>
        <c:minorTickMark val="none"/>
        <c:tickLblPos val="nextTo"/>
        <c:crossAx val="299395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excel.xlsx]Pivot!PivotTable6</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Pivot!$I$42</c:f>
              <c:strCache>
                <c:ptCount val="1"/>
                <c:pt idx="0">
                  <c:v>Total</c:v>
                </c:pt>
              </c:strCache>
            </c:strRef>
          </c:tx>
          <c:spPr>
            <a:solidFill>
              <a:schemeClr val="accent1"/>
            </a:solidFill>
            <a:ln>
              <a:noFill/>
            </a:ln>
            <a:effectLst/>
          </c:spPr>
          <c:invertIfNegative val="0"/>
          <c:cat>
            <c:strRef>
              <c:f>Pivot!$H$43:$H$51</c:f>
              <c:strCache>
                <c:ptCount val="8"/>
                <c:pt idx="0">
                  <c:v>0-09</c:v>
                </c:pt>
                <c:pt idx="1">
                  <c:v>10-19</c:v>
                </c:pt>
                <c:pt idx="2">
                  <c:v>20-29</c:v>
                </c:pt>
                <c:pt idx="3">
                  <c:v>30-39</c:v>
                </c:pt>
                <c:pt idx="4">
                  <c:v>40-49</c:v>
                </c:pt>
                <c:pt idx="5">
                  <c:v>50-59</c:v>
                </c:pt>
                <c:pt idx="6">
                  <c:v>60-69</c:v>
                </c:pt>
                <c:pt idx="7">
                  <c:v>70-79</c:v>
                </c:pt>
              </c:strCache>
            </c:strRef>
          </c:cat>
          <c:val>
            <c:numRef>
              <c:f>Pivot!$I$43:$I$51</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2-D8F9-4BDE-89F4-EAB3AB7478C7}"/>
            </c:ext>
          </c:extLst>
        </c:ser>
        <c:dLbls>
          <c:showLegendKey val="0"/>
          <c:showVal val="0"/>
          <c:showCatName val="0"/>
          <c:showSerName val="0"/>
          <c:showPercent val="0"/>
          <c:showBubbleSize val="0"/>
        </c:dLbls>
        <c:gapWidth val="219"/>
        <c:overlap val="-27"/>
        <c:axId val="938510959"/>
        <c:axId val="973139375"/>
      </c:barChart>
      <c:catAx>
        <c:axId val="9385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No.</a:t>
                </a:r>
                <a:r>
                  <a:rPr lang="en-IN" sz="1100" b="1" baseline="0"/>
                  <a:t> of Patients by age group</a:t>
                </a:r>
                <a:endParaRPr lang="en-IN"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139375"/>
        <c:crosses val="autoZero"/>
        <c:auto val="1"/>
        <c:lblAlgn val="ctr"/>
        <c:lblOffset val="100"/>
        <c:noMultiLvlLbl val="0"/>
      </c:catAx>
      <c:valAx>
        <c:axId val="9731393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1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excel.xlsx]Pivot!PivotTable7</c:name>
    <c:fmtId val="6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825185914260717"/>
              <c:y val="2.5003280839895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34293525809274"/>
              <c:y val="-5.9794400699912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034293525809274"/>
              <c:y val="-5.9794400699912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825185914260717"/>
              <c:y val="2.5003280839895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679870687891312"/>
              <c:y val="-0.16216806867198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188230961247289"/>
              <c:y val="9.893989767988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6032941166064649E-2"/>
          <c:y val="0.1289520165342789"/>
          <c:w val="0.69951440692301825"/>
          <c:h val="0.77003034804405124"/>
        </c:manualLayout>
      </c:layout>
      <c:pieChart>
        <c:varyColors val="1"/>
        <c:ser>
          <c:idx val="0"/>
          <c:order val="0"/>
          <c:tx>
            <c:strRef>
              <c:f>Pivot!$M$40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D6-44E5-8A3B-9C9C4F6F90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D6-44E5-8A3B-9C9C4F6F90A7}"/>
              </c:ext>
            </c:extLst>
          </c:dPt>
          <c:dLbls>
            <c:dLbl>
              <c:idx val="0"/>
              <c:layout>
                <c:manualLayout>
                  <c:x val="-0.18679870687891312"/>
                  <c:y val="-0.1621680686719880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D6-44E5-8A3B-9C9C4F6F90A7}"/>
                </c:ext>
              </c:extLst>
            </c:dLbl>
            <c:dLbl>
              <c:idx val="1"/>
              <c:layout>
                <c:manualLayout>
                  <c:x val="0.17188230961247289"/>
                  <c:y val="9.893989767988420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D6-44E5-8A3B-9C9C4F6F90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Pivot!$L$41:$L$43</c:f>
              <c:strCache>
                <c:ptCount val="2"/>
                <c:pt idx="0">
                  <c:v>Delay</c:v>
                </c:pt>
                <c:pt idx="1">
                  <c:v>Ontime</c:v>
                </c:pt>
              </c:strCache>
            </c:strRef>
          </c:cat>
          <c:val>
            <c:numRef>
              <c:f>Pivot!$M$41:$M$43</c:f>
              <c:numCache>
                <c:formatCode>0</c:formatCode>
                <c:ptCount val="2"/>
                <c:pt idx="0">
                  <c:v>286</c:v>
                </c:pt>
                <c:pt idx="1">
                  <c:v>203</c:v>
                </c:pt>
              </c:numCache>
            </c:numRef>
          </c:val>
          <c:extLst>
            <c:ext xmlns:c16="http://schemas.microsoft.com/office/drawing/2014/chart" uri="{C3380CC4-5D6E-409C-BE32-E72D297353CC}">
              <c16:uniqueId val="{00000007-AB4C-468F-ABF0-C5F26B0F84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3.2396090047000371E-2"/>
          <c:y val="2.2300575294074438E-2"/>
          <c:w val="0.731993419285077"/>
          <c:h val="7.7547389909594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excel.xlsx]Pivot!PivotTable10</c:name>
    <c:fmtId val="7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8335180546170702"/>
          <c:y val="0.100692515906774"/>
          <c:w val="0.43109278089995662"/>
          <c:h val="0.73561125367642755"/>
        </c:manualLayout>
      </c:layout>
      <c:doughnutChart>
        <c:varyColors val="1"/>
        <c:ser>
          <c:idx val="0"/>
          <c:order val="0"/>
          <c:tx>
            <c:strRef>
              <c:f>Pivot!$M$48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E-4219-BDDA-CB9555938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E-4219-BDDA-CB9555938A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Pivot!$L$49:$L$51</c:f>
              <c:strCache>
                <c:ptCount val="2"/>
                <c:pt idx="0">
                  <c:v>Female</c:v>
                </c:pt>
                <c:pt idx="1">
                  <c:v>Male</c:v>
                </c:pt>
              </c:strCache>
            </c:strRef>
          </c:cat>
          <c:val>
            <c:numRef>
              <c:f>Pivot!$M$49:$M$51</c:f>
              <c:numCache>
                <c:formatCode>0</c:formatCode>
                <c:ptCount val="2"/>
                <c:pt idx="0">
                  <c:v>240</c:v>
                </c:pt>
                <c:pt idx="1">
                  <c:v>249</c:v>
                </c:pt>
              </c:numCache>
            </c:numRef>
          </c:val>
          <c:extLst>
            <c:ext xmlns:c16="http://schemas.microsoft.com/office/drawing/2014/chart" uri="{C3380CC4-5D6E-409C-BE32-E72D297353CC}">
              <c16:uniqueId val="{00000007-264B-4F7B-8622-A51EDBF96DFF}"/>
            </c:ext>
          </c:extLst>
        </c:ser>
        <c:dLbls>
          <c:showLegendKey val="0"/>
          <c:showVal val="1"/>
          <c:showCatName val="0"/>
          <c:showSerName val="0"/>
          <c:showPercent val="0"/>
          <c:showBubbleSize val="0"/>
          <c:showLeaderLines val="1"/>
        </c:dLbls>
        <c:firstSliceAng val="0"/>
        <c:holeSize val="37"/>
      </c:doughnutChart>
      <c:spPr>
        <a:noFill/>
        <a:ln>
          <a:noFill/>
        </a:ln>
        <a:effectLst>
          <a:glow rad="190500">
            <a:schemeClr val="accent1">
              <a:alpha val="40000"/>
            </a:schemeClr>
          </a:glow>
        </a:effectLst>
      </c:spPr>
    </c:plotArea>
    <c:legend>
      <c:legendPos val="r"/>
      <c:layout>
        <c:manualLayout>
          <c:xMode val="edge"/>
          <c:yMode val="edge"/>
          <c:x val="0.22567344298498604"/>
          <c:y val="9.840522140588932E-3"/>
          <c:w val="0.48653217034461155"/>
          <c:h val="0.10975263941130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excel.xlsx]Pivot!PivotTable11</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0863976333202"/>
          <c:y val="0.10648148148148148"/>
          <c:w val="0.75772980782897736"/>
          <c:h val="0.8842592592592593"/>
        </c:manualLayout>
      </c:layout>
      <c:barChart>
        <c:barDir val="bar"/>
        <c:grouping val="clustered"/>
        <c:varyColors val="0"/>
        <c:ser>
          <c:idx val="0"/>
          <c:order val="0"/>
          <c:tx>
            <c:strRef>
              <c:f>Pivot!$M$56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Pivot!$L$57:$L$65</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Pivot!$M$57:$M$65</c:f>
              <c:numCache>
                <c:formatCode>0</c:formatCode>
                <c:ptCount val="8"/>
                <c:pt idx="0">
                  <c:v>8</c:v>
                </c:pt>
                <c:pt idx="1">
                  <c:v>8</c:v>
                </c:pt>
                <c:pt idx="2">
                  <c:v>11</c:v>
                </c:pt>
                <c:pt idx="3">
                  <c:v>12</c:v>
                </c:pt>
                <c:pt idx="4">
                  <c:v>18</c:v>
                </c:pt>
                <c:pt idx="5">
                  <c:v>44</c:v>
                </c:pt>
                <c:pt idx="6">
                  <c:v>110</c:v>
                </c:pt>
                <c:pt idx="7">
                  <c:v>278</c:v>
                </c:pt>
              </c:numCache>
            </c:numRef>
          </c:val>
          <c:extLst>
            <c:ext xmlns:c16="http://schemas.microsoft.com/office/drawing/2014/chart" uri="{C3380CC4-5D6E-409C-BE32-E72D297353CC}">
              <c16:uniqueId val="{00000003-EE07-470D-A107-DF119BC3F838}"/>
            </c:ext>
          </c:extLst>
        </c:ser>
        <c:dLbls>
          <c:dLblPos val="outEnd"/>
          <c:showLegendKey val="0"/>
          <c:showVal val="1"/>
          <c:showCatName val="0"/>
          <c:showSerName val="0"/>
          <c:showPercent val="0"/>
          <c:showBubbleSize val="0"/>
        </c:dLbls>
        <c:gapWidth val="182"/>
        <c:axId val="1994650639"/>
        <c:axId val="2071385167"/>
      </c:barChart>
      <c:catAx>
        <c:axId val="19946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385167"/>
        <c:crosses val="autoZero"/>
        <c:auto val="1"/>
        <c:lblAlgn val="ctr"/>
        <c:lblOffset val="100"/>
        <c:noMultiLvlLbl val="0"/>
      </c:catAx>
      <c:valAx>
        <c:axId val="2071385167"/>
        <c:scaling>
          <c:orientation val="minMax"/>
        </c:scaling>
        <c:delete val="1"/>
        <c:axPos val="b"/>
        <c:numFmt formatCode="0" sourceLinked="1"/>
        <c:majorTickMark val="none"/>
        <c:minorTickMark val="none"/>
        <c:tickLblPos val="nextTo"/>
        <c:crossAx val="1994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excel.xlsx]Pivot!PivotTable9</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98373137242143E-2"/>
          <c:y val="2.9729577358916033E-3"/>
          <c:w val="0.93879715190559854"/>
          <c:h val="0.84625404819624273"/>
        </c:manualLayout>
      </c:layout>
      <c:areaChart>
        <c:grouping val="standard"/>
        <c:varyColors val="0"/>
        <c:ser>
          <c:idx val="0"/>
          <c:order val="0"/>
          <c:tx>
            <c:strRef>
              <c:f>Pivot!$H$5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Pivot!$G$6:$G$37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Pivot!$H$6:$H$37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2-DC42-4F5C-907E-2B7A8F4D55A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3520432"/>
        <c:axId val="139059951"/>
      </c:areaChart>
      <c:catAx>
        <c:axId val="17352043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9059951"/>
        <c:crosses val="autoZero"/>
        <c:auto val="1"/>
        <c:lblAlgn val="ctr"/>
        <c:lblOffset val="100"/>
        <c:noMultiLvlLbl val="0"/>
      </c:catAx>
      <c:valAx>
        <c:axId val="139059951"/>
        <c:scaling>
          <c:orientation val="minMax"/>
        </c:scaling>
        <c:delete val="1"/>
        <c:axPos val="l"/>
        <c:numFmt formatCode="0.00" sourceLinked="1"/>
        <c:majorTickMark val="out"/>
        <c:minorTickMark val="none"/>
        <c:tickLblPos val="nextTo"/>
        <c:crossAx val="173520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ysClr val="window" lastClr="FFFFFF">
          <a:lumMod val="50000"/>
          <a:alpha val="99000"/>
        </a:sys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excel.xlsx]Pivot!PivotTable3</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Pivot!$N$6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Pivot!$M$7:$M$36</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Pivot!$N$7:$N$36</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2-C883-4180-8CC5-00B43236362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99395375"/>
        <c:axId val="301311599"/>
      </c:areaChart>
      <c:catAx>
        <c:axId val="2993953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01311599"/>
        <c:crosses val="autoZero"/>
        <c:auto val="1"/>
        <c:lblAlgn val="ctr"/>
        <c:lblOffset val="100"/>
        <c:noMultiLvlLbl val="0"/>
      </c:catAx>
      <c:valAx>
        <c:axId val="301311599"/>
        <c:scaling>
          <c:orientation val="minMax"/>
        </c:scaling>
        <c:delete val="1"/>
        <c:axPos val="l"/>
        <c:numFmt formatCode="0.00" sourceLinked="1"/>
        <c:majorTickMark val="out"/>
        <c:minorTickMark val="none"/>
        <c:tickLblPos val="nextTo"/>
        <c:crossAx val="299395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excel.xlsx]Pivot!PivotTable8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54599880639056E-2"/>
          <c:y val="9.6818810511756573E-2"/>
          <c:w val="0.8499232679653167"/>
          <c:h val="0.68143834199148345"/>
        </c:manualLayout>
      </c:layout>
      <c:areaChart>
        <c:grouping val="standard"/>
        <c:varyColors val="0"/>
        <c:ser>
          <c:idx val="0"/>
          <c:order val="0"/>
          <c:tx>
            <c:strRef>
              <c:f>Pivot!$D$5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Pivot!$C$6:$C$37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Pivot!$D$6:$D$37</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2-AC3A-43A2-A79C-A6045F6A4501}"/>
            </c:ext>
          </c:extLst>
        </c:ser>
        <c:dLbls>
          <c:showLegendKey val="0"/>
          <c:showVal val="0"/>
          <c:showCatName val="0"/>
          <c:showSerName val="0"/>
          <c:showPercent val="0"/>
          <c:showBubbleSize val="0"/>
        </c:dLbls>
        <c:axId val="486467952"/>
        <c:axId val="42631407"/>
      </c:areaChart>
      <c:dateAx>
        <c:axId val="4864679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31407"/>
        <c:crosses val="autoZero"/>
        <c:auto val="0"/>
        <c:lblOffset val="100"/>
        <c:baseTimeUnit val="days"/>
      </c:dateAx>
      <c:valAx>
        <c:axId val="426314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646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A1"/><Relationship Id="rId17" Type="http://schemas.openxmlformats.org/officeDocument/2006/relationships/chart" Target="../charts/chart8.xml"/><Relationship Id="rId2" Type="http://schemas.microsoft.com/office/2007/relationships/hdphoto" Target="../media/hdphoto1.wdp"/><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hyperlink" Target="#'Average wait time trend'!A1"/><Relationship Id="rId4" Type="http://schemas.openxmlformats.org/officeDocument/2006/relationships/image" Target="../media/image3.svg"/><Relationship Id="rId9" Type="http://schemas.openxmlformats.org/officeDocument/2006/relationships/chart" Target="../charts/chart3.xml"/><Relationship Id="rId14" Type="http://schemas.openxmlformats.org/officeDocument/2006/relationships/image" Target="../media/image7.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3</xdr:col>
      <xdr:colOff>30480</xdr:colOff>
      <xdr:row>44</xdr:row>
      <xdr:rowOff>99060</xdr:rowOff>
    </xdr:from>
    <xdr:to>
      <xdr:col>4</xdr:col>
      <xdr:colOff>38100</xdr:colOff>
      <xdr:row>47</xdr:row>
      <xdr:rowOff>121920</xdr:rowOff>
    </xdr:to>
    <xdr:graphicFrame macro="">
      <xdr:nvGraphicFramePr>
        <xdr:cNvPr id="6" name="Chart 5">
          <a:extLst>
            <a:ext uri="{FF2B5EF4-FFF2-40B4-BE49-F238E27FC236}">
              <a16:creationId xmlns:a16="http://schemas.microsoft.com/office/drawing/2014/main" id="{7D7F070E-C023-6120-283E-DDAE61276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55</xdr:row>
      <xdr:rowOff>87630</xdr:rowOff>
    </xdr:from>
    <xdr:to>
      <xdr:col>9</xdr:col>
      <xdr:colOff>160020</xdr:colOff>
      <xdr:row>70</xdr:row>
      <xdr:rowOff>87630</xdr:rowOff>
    </xdr:to>
    <xdr:graphicFrame macro="">
      <xdr:nvGraphicFramePr>
        <xdr:cNvPr id="8" name="Chart 7">
          <a:extLst>
            <a:ext uri="{FF2B5EF4-FFF2-40B4-BE49-F238E27FC236}">
              <a16:creationId xmlns:a16="http://schemas.microsoft.com/office/drawing/2014/main" id="{3BA1B958-B470-9CD4-43DE-3C1E8483A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220980</xdr:colOff>
      <xdr:row>57</xdr:row>
      <xdr:rowOff>129541</xdr:rowOff>
    </xdr:from>
    <xdr:to>
      <xdr:col>3</xdr:col>
      <xdr:colOff>929640</xdr:colOff>
      <xdr:row>61</xdr:row>
      <xdr:rowOff>137160</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D8DADEE7-01D4-B51A-13C8-7CDFBEAD920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118360" y="10553701"/>
              <a:ext cx="182880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541019</xdr:colOff>
      <xdr:row>16</xdr:row>
      <xdr:rowOff>103910</xdr:rowOff>
    </xdr:from>
    <xdr:to>
      <xdr:col>9</xdr:col>
      <xdr:colOff>166255</xdr:colOff>
      <xdr:row>24</xdr:row>
      <xdr:rowOff>110144</xdr:rowOff>
    </xdr:to>
    <xdr:sp macro="" textlink="">
      <xdr:nvSpPr>
        <xdr:cNvPr id="3" name="Rectangle: Rounded Corners 2">
          <a:extLst>
            <a:ext uri="{FF2B5EF4-FFF2-40B4-BE49-F238E27FC236}">
              <a16:creationId xmlns:a16="http://schemas.microsoft.com/office/drawing/2014/main" id="{FF5C4CDF-1A4A-9C5B-BE1C-FA0B9AC782E3}"/>
            </a:ext>
          </a:extLst>
        </xdr:cNvPr>
        <xdr:cNvSpPr/>
      </xdr:nvSpPr>
      <xdr:spPr>
        <a:xfrm>
          <a:off x="1150619" y="2985655"/>
          <a:ext cx="4502036" cy="1447107"/>
        </a:xfrm>
        <a:prstGeom prst="roundRect">
          <a:avLst>
            <a:gd name="adj" fmla="val 581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200890</xdr:colOff>
      <xdr:row>0</xdr:row>
      <xdr:rowOff>72887</xdr:rowOff>
    </xdr:from>
    <xdr:to>
      <xdr:col>11</xdr:col>
      <xdr:colOff>574270</xdr:colOff>
      <xdr:row>9</xdr:row>
      <xdr:rowOff>150292</xdr:rowOff>
    </xdr:to>
    <xdr:sp macro="" textlink="">
      <xdr:nvSpPr>
        <xdr:cNvPr id="4" name="Rectangle: Rounded Corners 3">
          <a:extLst>
            <a:ext uri="{FF2B5EF4-FFF2-40B4-BE49-F238E27FC236}">
              <a16:creationId xmlns:a16="http://schemas.microsoft.com/office/drawing/2014/main" id="{977CBCE4-3289-1632-04D0-98A36D0A72F4}"/>
            </a:ext>
          </a:extLst>
        </xdr:cNvPr>
        <xdr:cNvSpPr/>
      </xdr:nvSpPr>
      <xdr:spPr>
        <a:xfrm>
          <a:off x="5687290" y="72887"/>
          <a:ext cx="1592580" cy="1747179"/>
        </a:xfrm>
        <a:prstGeom prst="roundRect">
          <a:avLst>
            <a:gd name="adj" fmla="val 709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49365</xdr:colOff>
      <xdr:row>0</xdr:row>
      <xdr:rowOff>59635</xdr:rowOff>
    </xdr:from>
    <xdr:to>
      <xdr:col>16</xdr:col>
      <xdr:colOff>556591</xdr:colOff>
      <xdr:row>9</xdr:row>
      <xdr:rowOff>152400</xdr:rowOff>
    </xdr:to>
    <xdr:sp macro="" textlink="">
      <xdr:nvSpPr>
        <xdr:cNvPr id="5" name="Rectangle: Rounded Corners 4">
          <a:extLst>
            <a:ext uri="{FF2B5EF4-FFF2-40B4-BE49-F238E27FC236}">
              <a16:creationId xmlns:a16="http://schemas.microsoft.com/office/drawing/2014/main" id="{19E01721-2A07-2956-6373-B9D45F08A63F}"/>
            </a:ext>
          </a:extLst>
        </xdr:cNvPr>
        <xdr:cNvSpPr/>
      </xdr:nvSpPr>
      <xdr:spPr>
        <a:xfrm>
          <a:off x="7364565" y="59635"/>
          <a:ext cx="2945626" cy="1762539"/>
        </a:xfrm>
        <a:prstGeom prst="roundRect">
          <a:avLst>
            <a:gd name="adj" fmla="val 709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IN" sz="1100"/>
        </a:p>
      </xdr:txBody>
    </xdr:sp>
    <xdr:clientData/>
  </xdr:twoCellAnchor>
  <xdr:twoCellAnchor editAs="absolute">
    <xdr:from>
      <xdr:col>0</xdr:col>
      <xdr:colOff>83820</xdr:colOff>
      <xdr:row>4</xdr:row>
      <xdr:rowOff>76200</xdr:rowOff>
    </xdr:from>
    <xdr:to>
      <xdr:col>1</xdr:col>
      <xdr:colOff>449580</xdr:colOff>
      <xdr:row>24</xdr:row>
      <xdr:rowOff>146858</xdr:rowOff>
    </xdr:to>
    <xdr:sp macro="" textlink="">
      <xdr:nvSpPr>
        <xdr:cNvPr id="8" name="Rectangle: Rounded Corners 7">
          <a:extLst>
            <a:ext uri="{FF2B5EF4-FFF2-40B4-BE49-F238E27FC236}">
              <a16:creationId xmlns:a16="http://schemas.microsoft.com/office/drawing/2014/main" id="{E49C3035-DD9A-3C17-FAEF-7D3D546A8EB4}"/>
            </a:ext>
          </a:extLst>
        </xdr:cNvPr>
        <xdr:cNvSpPr/>
      </xdr:nvSpPr>
      <xdr:spPr>
        <a:xfrm>
          <a:off x="83820" y="818322"/>
          <a:ext cx="975360" cy="3781266"/>
        </a:xfrm>
        <a:prstGeom prst="roundRect">
          <a:avLst>
            <a:gd name="adj" fmla="val 700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72043</xdr:colOff>
      <xdr:row>0</xdr:row>
      <xdr:rowOff>59635</xdr:rowOff>
    </xdr:from>
    <xdr:to>
      <xdr:col>7</xdr:col>
      <xdr:colOff>171103</xdr:colOff>
      <xdr:row>4</xdr:row>
      <xdr:rowOff>46382</xdr:rowOff>
    </xdr:to>
    <xdr:sp macro="" textlink="">
      <xdr:nvSpPr>
        <xdr:cNvPr id="9" name="Rectangle: Rounded Corners 8">
          <a:extLst>
            <a:ext uri="{FF2B5EF4-FFF2-40B4-BE49-F238E27FC236}">
              <a16:creationId xmlns:a16="http://schemas.microsoft.com/office/drawing/2014/main" id="{6D45F20C-36F2-409A-5592-8AFA1610BF0D}"/>
            </a:ext>
          </a:extLst>
        </xdr:cNvPr>
        <xdr:cNvSpPr/>
      </xdr:nvSpPr>
      <xdr:spPr>
        <a:xfrm>
          <a:off x="72043" y="59635"/>
          <a:ext cx="4366260" cy="728869"/>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544217</xdr:colOff>
      <xdr:row>4</xdr:row>
      <xdr:rowOff>95598</xdr:rowOff>
    </xdr:from>
    <xdr:to>
      <xdr:col>9</xdr:col>
      <xdr:colOff>145775</xdr:colOff>
      <xdr:row>10</xdr:row>
      <xdr:rowOff>94603</xdr:rowOff>
    </xdr:to>
    <xdr:grpSp>
      <xdr:nvGrpSpPr>
        <xdr:cNvPr id="25" name="Group 24">
          <a:extLst>
            <a:ext uri="{FF2B5EF4-FFF2-40B4-BE49-F238E27FC236}">
              <a16:creationId xmlns:a16="http://schemas.microsoft.com/office/drawing/2014/main" id="{CD91A3C8-A702-16B0-FB33-438DDDA90599}"/>
            </a:ext>
          </a:extLst>
        </xdr:cNvPr>
        <xdr:cNvGrpSpPr/>
      </xdr:nvGrpSpPr>
      <xdr:grpSpPr>
        <a:xfrm>
          <a:off x="1153817" y="837720"/>
          <a:ext cx="4478358" cy="1112187"/>
          <a:chOff x="1150620" y="792480"/>
          <a:chExt cx="4434840" cy="1096190"/>
        </a:xfrm>
      </xdr:grpSpPr>
      <xdr:sp macro="" textlink="">
        <xdr:nvSpPr>
          <xdr:cNvPr id="10" name="Rectangle: Rounded Corners 9">
            <a:extLst>
              <a:ext uri="{FF2B5EF4-FFF2-40B4-BE49-F238E27FC236}">
                <a16:creationId xmlns:a16="http://schemas.microsoft.com/office/drawing/2014/main" id="{72435A71-0FD2-0FD8-01DC-270D2A25F973}"/>
              </a:ext>
            </a:extLst>
          </xdr:cNvPr>
          <xdr:cNvSpPr/>
        </xdr:nvSpPr>
        <xdr:spPr>
          <a:xfrm>
            <a:off x="1150620" y="792480"/>
            <a:ext cx="1417320" cy="1089660"/>
          </a:xfrm>
          <a:prstGeom prst="roundRect">
            <a:avLst>
              <a:gd name="adj" fmla="val 700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1204811-261B-5536-58CD-97B79223C68A}"/>
              </a:ext>
            </a:extLst>
          </xdr:cNvPr>
          <xdr:cNvSpPr/>
        </xdr:nvSpPr>
        <xdr:spPr>
          <a:xfrm>
            <a:off x="2618952" y="799010"/>
            <a:ext cx="1417320" cy="1089660"/>
          </a:xfrm>
          <a:prstGeom prst="roundRect">
            <a:avLst>
              <a:gd name="adj" fmla="val 700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AF215881-CE1D-CD7E-3320-E84B21D878DB}"/>
              </a:ext>
            </a:extLst>
          </xdr:cNvPr>
          <xdr:cNvSpPr/>
        </xdr:nvSpPr>
        <xdr:spPr>
          <a:xfrm>
            <a:off x="4135324" y="792480"/>
            <a:ext cx="1450136" cy="1089660"/>
          </a:xfrm>
          <a:prstGeom prst="roundRect">
            <a:avLst>
              <a:gd name="adj" fmla="val 700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527076</xdr:colOff>
      <xdr:row>10</xdr:row>
      <xdr:rowOff>126980</xdr:rowOff>
    </xdr:from>
    <xdr:to>
      <xdr:col>9</xdr:col>
      <xdr:colOff>117674</xdr:colOff>
      <xdr:row>16</xdr:row>
      <xdr:rowOff>23072</xdr:rowOff>
    </xdr:to>
    <xdr:sp macro="" textlink="">
      <xdr:nvSpPr>
        <xdr:cNvPr id="6" name="Rectangle: Rounded Corners 5">
          <a:extLst>
            <a:ext uri="{FF2B5EF4-FFF2-40B4-BE49-F238E27FC236}">
              <a16:creationId xmlns:a16="http://schemas.microsoft.com/office/drawing/2014/main" id="{5CF34218-2BB0-7C8A-1511-7DA2654282F2}"/>
            </a:ext>
          </a:extLst>
        </xdr:cNvPr>
        <xdr:cNvSpPr/>
      </xdr:nvSpPr>
      <xdr:spPr>
        <a:xfrm>
          <a:off x="1136676" y="1982284"/>
          <a:ext cx="4467398" cy="1009275"/>
        </a:xfrm>
        <a:prstGeom prst="roundRect">
          <a:avLst>
            <a:gd name="adj" fmla="val 822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236702</xdr:colOff>
      <xdr:row>0</xdr:row>
      <xdr:rowOff>111469</xdr:rowOff>
    </xdr:from>
    <xdr:to>
      <xdr:col>9</xdr:col>
      <xdr:colOff>125865</xdr:colOff>
      <xdr:row>3</xdr:row>
      <xdr:rowOff>155684</xdr:rowOff>
    </xdr:to>
    <xdr:sp macro="" textlink="">
      <xdr:nvSpPr>
        <xdr:cNvPr id="7" name="Rectangle: Rounded Corners 6">
          <a:extLst>
            <a:ext uri="{FF2B5EF4-FFF2-40B4-BE49-F238E27FC236}">
              <a16:creationId xmlns:a16="http://schemas.microsoft.com/office/drawing/2014/main" id="{C2B39173-8984-5B82-8FB5-2C80DB31037A}"/>
            </a:ext>
          </a:extLst>
        </xdr:cNvPr>
        <xdr:cNvSpPr/>
      </xdr:nvSpPr>
      <xdr:spPr>
        <a:xfrm>
          <a:off x="4503902" y="111469"/>
          <a:ext cx="1108363" cy="600806"/>
        </a:xfrm>
        <a:prstGeom prst="roundRect">
          <a:avLst/>
        </a:prstGeom>
        <a:solidFill>
          <a:schemeClr val="tx2">
            <a:lumMod val="10000"/>
            <a:lumOff val="9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229203</xdr:colOff>
      <xdr:row>10</xdr:row>
      <xdr:rowOff>19877</xdr:rowOff>
    </xdr:from>
    <xdr:to>
      <xdr:col>16</xdr:col>
      <xdr:colOff>556591</xdr:colOff>
      <xdr:row>24</xdr:row>
      <xdr:rowOff>145774</xdr:rowOff>
    </xdr:to>
    <xdr:sp macro="" textlink="">
      <xdr:nvSpPr>
        <xdr:cNvPr id="17" name="Rectangle: Rounded Corners 16">
          <a:extLst>
            <a:ext uri="{FF2B5EF4-FFF2-40B4-BE49-F238E27FC236}">
              <a16:creationId xmlns:a16="http://schemas.microsoft.com/office/drawing/2014/main" id="{AAAE12C7-46FC-868C-A8E9-B322DA0C465A}"/>
            </a:ext>
          </a:extLst>
        </xdr:cNvPr>
        <xdr:cNvSpPr/>
      </xdr:nvSpPr>
      <xdr:spPr>
        <a:xfrm>
          <a:off x="5715603" y="1875181"/>
          <a:ext cx="4594588" cy="2723323"/>
        </a:xfrm>
        <a:prstGeom prst="roundRect">
          <a:avLst>
            <a:gd name="adj" fmla="val 287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Number of Patients by Department Referrals</a:t>
          </a:r>
        </a:p>
      </xdr:txBody>
    </xdr:sp>
    <xdr:clientData/>
  </xdr:twoCellAnchor>
  <xdr:twoCellAnchor editAs="absolute">
    <xdr:from>
      <xdr:col>0</xdr:col>
      <xdr:colOff>270163</xdr:colOff>
      <xdr:row>1</xdr:row>
      <xdr:rowOff>41564</xdr:rowOff>
    </xdr:from>
    <xdr:to>
      <xdr:col>5</xdr:col>
      <xdr:colOff>450273</xdr:colOff>
      <xdr:row>3</xdr:row>
      <xdr:rowOff>96982</xdr:rowOff>
    </xdr:to>
    <xdr:sp macro="" textlink="">
      <xdr:nvSpPr>
        <xdr:cNvPr id="19" name="TextBox 18">
          <a:extLst>
            <a:ext uri="{FF2B5EF4-FFF2-40B4-BE49-F238E27FC236}">
              <a16:creationId xmlns:a16="http://schemas.microsoft.com/office/drawing/2014/main" id="{15B8D30A-D728-4270-FA34-78B6D4F8C6A8}"/>
            </a:ext>
          </a:extLst>
        </xdr:cNvPr>
        <xdr:cNvSpPr txBox="1"/>
      </xdr:nvSpPr>
      <xdr:spPr>
        <a:xfrm>
          <a:off x="270163" y="221673"/>
          <a:ext cx="3228110"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600"/>
        </a:p>
      </xdr:txBody>
    </xdr:sp>
    <xdr:clientData/>
  </xdr:twoCellAnchor>
  <xdr:twoCellAnchor editAs="oneCell">
    <xdr:from>
      <xdr:col>0</xdr:col>
      <xdr:colOff>180109</xdr:colOff>
      <xdr:row>0</xdr:row>
      <xdr:rowOff>152402</xdr:rowOff>
    </xdr:from>
    <xdr:to>
      <xdr:col>1</xdr:col>
      <xdr:colOff>505691</xdr:colOff>
      <xdr:row>3</xdr:row>
      <xdr:rowOff>154707</xdr:rowOff>
    </xdr:to>
    <xdr:pic>
      <xdr:nvPicPr>
        <xdr:cNvPr id="26" name="Picture 25">
          <a:extLst>
            <a:ext uri="{FF2B5EF4-FFF2-40B4-BE49-F238E27FC236}">
              <a16:creationId xmlns:a16="http://schemas.microsoft.com/office/drawing/2014/main" id="{2DDC7203-E117-0D79-4E7E-0F127898643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180109" y="152402"/>
          <a:ext cx="935182" cy="542632"/>
        </a:xfrm>
        <a:prstGeom prst="rect">
          <a:avLst/>
        </a:prstGeom>
      </xdr:spPr>
    </xdr:pic>
    <xdr:clientData/>
  </xdr:twoCellAnchor>
  <xdr:twoCellAnchor>
    <xdr:from>
      <xdr:col>1</xdr:col>
      <xdr:colOff>581891</xdr:colOff>
      <xdr:row>0</xdr:row>
      <xdr:rowOff>152400</xdr:rowOff>
    </xdr:from>
    <xdr:to>
      <xdr:col>7</xdr:col>
      <xdr:colOff>173182</xdr:colOff>
      <xdr:row>2</xdr:row>
      <xdr:rowOff>27709</xdr:rowOff>
    </xdr:to>
    <xdr:sp macro="" textlink="">
      <xdr:nvSpPr>
        <xdr:cNvPr id="27" name="TextBox 26">
          <a:extLst>
            <a:ext uri="{FF2B5EF4-FFF2-40B4-BE49-F238E27FC236}">
              <a16:creationId xmlns:a16="http://schemas.microsoft.com/office/drawing/2014/main" id="{DCB4FABB-AA43-D0B0-8820-50200452555B}"/>
            </a:ext>
          </a:extLst>
        </xdr:cNvPr>
        <xdr:cNvSpPr txBox="1"/>
      </xdr:nvSpPr>
      <xdr:spPr>
        <a:xfrm>
          <a:off x="1191491" y="152400"/>
          <a:ext cx="3248891" cy="235527"/>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600"/>
            <a:t>Hospital Emergency Room Dashboard</a:t>
          </a:r>
        </a:p>
      </xdr:txBody>
    </xdr:sp>
    <xdr:clientData/>
  </xdr:twoCellAnchor>
  <xdr:twoCellAnchor>
    <xdr:from>
      <xdr:col>1</xdr:col>
      <xdr:colOff>577735</xdr:colOff>
      <xdr:row>2</xdr:row>
      <xdr:rowOff>78279</xdr:rowOff>
    </xdr:from>
    <xdr:to>
      <xdr:col>7</xdr:col>
      <xdr:colOff>127462</xdr:colOff>
      <xdr:row>3</xdr:row>
      <xdr:rowOff>92134</xdr:rowOff>
    </xdr:to>
    <xdr:sp macro="" textlink="">
      <xdr:nvSpPr>
        <xdr:cNvPr id="28" name="TextBox 27">
          <a:extLst>
            <a:ext uri="{FF2B5EF4-FFF2-40B4-BE49-F238E27FC236}">
              <a16:creationId xmlns:a16="http://schemas.microsoft.com/office/drawing/2014/main" id="{38A35910-52FB-A62F-5A03-AB73C57469CB}"/>
            </a:ext>
          </a:extLst>
        </xdr:cNvPr>
        <xdr:cNvSpPr txBox="1"/>
      </xdr:nvSpPr>
      <xdr:spPr>
        <a:xfrm>
          <a:off x="1187335" y="444039"/>
          <a:ext cx="3207327" cy="19673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Monthly Report</a:t>
          </a:r>
        </a:p>
      </xdr:txBody>
    </xdr:sp>
    <xdr:clientData/>
  </xdr:twoCellAnchor>
  <xdr:twoCellAnchor>
    <xdr:from>
      <xdr:col>2</xdr:col>
      <xdr:colOff>69273</xdr:colOff>
      <xdr:row>4</xdr:row>
      <xdr:rowOff>103908</xdr:rowOff>
    </xdr:from>
    <xdr:to>
      <xdr:col>3</xdr:col>
      <xdr:colOff>547255</xdr:colOff>
      <xdr:row>6</xdr:row>
      <xdr:rowOff>48490</xdr:rowOff>
    </xdr:to>
    <xdr:sp macro="" textlink="Pivot!A6">
      <xdr:nvSpPr>
        <xdr:cNvPr id="29" name="TextBox 28">
          <a:extLst>
            <a:ext uri="{FF2B5EF4-FFF2-40B4-BE49-F238E27FC236}">
              <a16:creationId xmlns:a16="http://schemas.microsoft.com/office/drawing/2014/main" id="{196B1188-AA91-ACC8-22EE-7A1066871E88}"/>
            </a:ext>
          </a:extLst>
        </xdr:cNvPr>
        <xdr:cNvSpPr txBox="1"/>
      </xdr:nvSpPr>
      <xdr:spPr>
        <a:xfrm>
          <a:off x="1288473" y="824344"/>
          <a:ext cx="1087582" cy="304801"/>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37FE0A-8953-4BBA-AFAC-BCB3A928DB32}" type="TxLink">
            <a:rPr lang="en-US" sz="1800" b="0" i="0" u="none" strike="noStrike">
              <a:solidFill>
                <a:srgbClr val="000000"/>
              </a:solidFill>
              <a:latin typeface="Aptos Narrow"/>
            </a:rPr>
            <a:pPr algn="ctr"/>
            <a:t>489</a:t>
          </a:fld>
          <a:endParaRPr lang="en-IN" sz="1800"/>
        </a:p>
      </xdr:txBody>
    </xdr:sp>
    <xdr:clientData/>
  </xdr:twoCellAnchor>
  <xdr:twoCellAnchor>
    <xdr:from>
      <xdr:col>2</xdr:col>
      <xdr:colOff>124692</xdr:colOff>
      <xdr:row>7</xdr:row>
      <xdr:rowOff>159326</xdr:rowOff>
    </xdr:from>
    <xdr:to>
      <xdr:col>3</xdr:col>
      <xdr:colOff>602674</xdr:colOff>
      <xdr:row>9</xdr:row>
      <xdr:rowOff>124690</xdr:rowOff>
    </xdr:to>
    <xdr:sp macro="" textlink="">
      <xdr:nvSpPr>
        <xdr:cNvPr id="30" name="TextBox 29">
          <a:extLst>
            <a:ext uri="{FF2B5EF4-FFF2-40B4-BE49-F238E27FC236}">
              <a16:creationId xmlns:a16="http://schemas.microsoft.com/office/drawing/2014/main" id="{9D438587-1760-E850-6307-34B55579D075}"/>
            </a:ext>
          </a:extLst>
        </xdr:cNvPr>
        <xdr:cNvSpPr txBox="1"/>
      </xdr:nvSpPr>
      <xdr:spPr>
        <a:xfrm>
          <a:off x="1343892" y="1420090"/>
          <a:ext cx="1087582" cy="32558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4</xdr:col>
      <xdr:colOff>304801</xdr:colOff>
      <xdr:row>5</xdr:row>
      <xdr:rowOff>48491</xdr:rowOff>
    </xdr:from>
    <xdr:to>
      <xdr:col>6</xdr:col>
      <xdr:colOff>173183</xdr:colOff>
      <xdr:row>7</xdr:row>
      <xdr:rowOff>13854</xdr:rowOff>
    </xdr:to>
    <xdr:sp macro="" textlink="">
      <xdr:nvSpPr>
        <xdr:cNvPr id="31" name="TextBox 30">
          <a:extLst>
            <a:ext uri="{FF2B5EF4-FFF2-40B4-BE49-F238E27FC236}">
              <a16:creationId xmlns:a16="http://schemas.microsoft.com/office/drawing/2014/main" id="{DE141CBA-E654-9700-EF95-12B9C7C5769B}"/>
            </a:ext>
          </a:extLst>
        </xdr:cNvPr>
        <xdr:cNvSpPr txBox="1"/>
      </xdr:nvSpPr>
      <xdr:spPr>
        <a:xfrm>
          <a:off x="2743201" y="949036"/>
          <a:ext cx="1087582" cy="32558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7</xdr:col>
      <xdr:colOff>6927</xdr:colOff>
      <xdr:row>4</xdr:row>
      <xdr:rowOff>144268</xdr:rowOff>
    </xdr:from>
    <xdr:to>
      <xdr:col>8</xdr:col>
      <xdr:colOff>484909</xdr:colOff>
      <xdr:row>6</xdr:row>
      <xdr:rowOff>109631</xdr:rowOff>
    </xdr:to>
    <xdr:sp macro="" textlink="Pivot!A16">
      <xdr:nvSpPr>
        <xdr:cNvPr id="32" name="TextBox 31">
          <a:extLst>
            <a:ext uri="{FF2B5EF4-FFF2-40B4-BE49-F238E27FC236}">
              <a16:creationId xmlns:a16="http://schemas.microsoft.com/office/drawing/2014/main" id="{F35CB6CB-073A-BC6B-DF4A-392C8623689D}"/>
            </a:ext>
          </a:extLst>
        </xdr:cNvPr>
        <xdr:cNvSpPr txBox="1"/>
      </xdr:nvSpPr>
      <xdr:spPr>
        <a:xfrm>
          <a:off x="4274127" y="886390"/>
          <a:ext cx="1087582" cy="336424"/>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CEC555-5A6D-4E49-8680-920FEDF9B4DE}" type="TxLink">
            <a:rPr lang="en-US" sz="1600" b="0" i="0" u="none" strike="noStrike">
              <a:solidFill>
                <a:srgbClr val="000000"/>
              </a:solidFill>
              <a:latin typeface="Aptos Narrow"/>
            </a:rPr>
            <a:pPr algn="ctr"/>
            <a:t>4.68</a:t>
          </a:fld>
          <a:endParaRPr lang="en-IN" sz="1600"/>
        </a:p>
      </xdr:txBody>
    </xdr:sp>
    <xdr:clientData/>
  </xdr:twoCellAnchor>
  <xdr:twoCellAnchor>
    <xdr:from>
      <xdr:col>10</xdr:col>
      <xdr:colOff>526472</xdr:colOff>
      <xdr:row>30</xdr:row>
      <xdr:rowOff>90052</xdr:rowOff>
    </xdr:from>
    <xdr:to>
      <xdr:col>11</xdr:col>
      <xdr:colOff>554182</xdr:colOff>
      <xdr:row>34</xdr:row>
      <xdr:rowOff>69271</xdr:rowOff>
    </xdr:to>
    <xdr:sp macro="" textlink="">
      <xdr:nvSpPr>
        <xdr:cNvPr id="33" name="TextBox 32">
          <a:extLst>
            <a:ext uri="{FF2B5EF4-FFF2-40B4-BE49-F238E27FC236}">
              <a16:creationId xmlns:a16="http://schemas.microsoft.com/office/drawing/2014/main" id="{A5D11B9F-3BE2-13EA-FDC4-D38905FB3BC9}"/>
            </a:ext>
          </a:extLst>
        </xdr:cNvPr>
        <xdr:cNvSpPr txBox="1"/>
      </xdr:nvSpPr>
      <xdr:spPr>
        <a:xfrm flipH="1" flipV="1">
          <a:off x="6622472" y="5493325"/>
          <a:ext cx="637310" cy="69965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6</xdr:col>
      <xdr:colOff>533399</xdr:colOff>
      <xdr:row>6</xdr:row>
      <xdr:rowOff>62344</xdr:rowOff>
    </xdr:from>
    <xdr:to>
      <xdr:col>9</xdr:col>
      <xdr:colOff>41563</xdr:colOff>
      <xdr:row>8</xdr:row>
      <xdr:rowOff>152399</xdr:rowOff>
    </xdr:to>
    <xdr:sp macro="" textlink="">
      <xdr:nvSpPr>
        <xdr:cNvPr id="37" name="TextBox 36">
          <a:extLst>
            <a:ext uri="{FF2B5EF4-FFF2-40B4-BE49-F238E27FC236}">
              <a16:creationId xmlns:a16="http://schemas.microsoft.com/office/drawing/2014/main" id="{A2ECD568-1086-97B9-E577-16E668A24A18}"/>
            </a:ext>
          </a:extLst>
        </xdr:cNvPr>
        <xdr:cNvSpPr txBox="1"/>
      </xdr:nvSpPr>
      <xdr:spPr>
        <a:xfrm>
          <a:off x="4190999" y="1142999"/>
          <a:ext cx="1336964" cy="450273"/>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t>Patient Satisfaction</a:t>
          </a:r>
          <a:r>
            <a:rPr lang="en-IN" sz="1100" baseline="0"/>
            <a:t> Score</a:t>
          </a:r>
          <a:endParaRPr lang="en-IN" sz="1100"/>
        </a:p>
      </xdr:txBody>
    </xdr:sp>
    <xdr:clientData/>
  </xdr:twoCellAnchor>
  <xdr:twoCellAnchor>
    <xdr:from>
      <xdr:col>4</xdr:col>
      <xdr:colOff>353292</xdr:colOff>
      <xdr:row>5</xdr:row>
      <xdr:rowOff>48491</xdr:rowOff>
    </xdr:from>
    <xdr:to>
      <xdr:col>6</xdr:col>
      <xdr:colOff>221674</xdr:colOff>
      <xdr:row>7</xdr:row>
      <xdr:rowOff>13854</xdr:rowOff>
    </xdr:to>
    <xdr:sp macro="" textlink="Pivot!A6">
      <xdr:nvSpPr>
        <xdr:cNvPr id="38" name="TextBox 37">
          <a:extLst>
            <a:ext uri="{FF2B5EF4-FFF2-40B4-BE49-F238E27FC236}">
              <a16:creationId xmlns:a16="http://schemas.microsoft.com/office/drawing/2014/main" id="{E4D491B1-088F-5E0D-2FB4-D7DFC27DC8F9}"/>
            </a:ext>
          </a:extLst>
        </xdr:cNvPr>
        <xdr:cNvSpPr txBox="1"/>
      </xdr:nvSpPr>
      <xdr:spPr>
        <a:xfrm>
          <a:off x="2791692" y="949036"/>
          <a:ext cx="1087582" cy="32558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37FE0A-8953-4BBA-AFAC-BCB3A928DB32}" type="TxLink">
            <a:rPr lang="en-US" sz="1100" b="0" i="0" u="none" strike="noStrike">
              <a:solidFill>
                <a:srgbClr val="000000"/>
              </a:solidFill>
              <a:latin typeface="Aptos Narrow"/>
            </a:rPr>
            <a:pPr algn="ctr"/>
            <a:t>489</a:t>
          </a:fld>
          <a:endParaRPr lang="en-IN" sz="1100"/>
        </a:p>
      </xdr:txBody>
    </xdr:sp>
    <xdr:clientData/>
  </xdr:twoCellAnchor>
  <xdr:twoCellAnchor>
    <xdr:from>
      <xdr:col>2</xdr:col>
      <xdr:colOff>76200</xdr:colOff>
      <xdr:row>6</xdr:row>
      <xdr:rowOff>13853</xdr:rowOff>
    </xdr:from>
    <xdr:to>
      <xdr:col>3</xdr:col>
      <xdr:colOff>554182</xdr:colOff>
      <xdr:row>7</xdr:row>
      <xdr:rowOff>159326</xdr:rowOff>
    </xdr:to>
    <xdr:sp macro="" textlink="">
      <xdr:nvSpPr>
        <xdr:cNvPr id="39" name="TextBox 38">
          <a:extLst>
            <a:ext uri="{FF2B5EF4-FFF2-40B4-BE49-F238E27FC236}">
              <a16:creationId xmlns:a16="http://schemas.microsoft.com/office/drawing/2014/main" id="{6CB2951D-EDB9-070B-6D03-7358DEA10167}"/>
            </a:ext>
          </a:extLst>
        </xdr:cNvPr>
        <xdr:cNvSpPr txBox="1"/>
      </xdr:nvSpPr>
      <xdr:spPr>
        <a:xfrm>
          <a:off x="1295400" y="1094508"/>
          <a:ext cx="1087582" cy="32558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No.</a:t>
          </a:r>
          <a:r>
            <a:rPr lang="en-IN" sz="1100" baseline="0"/>
            <a:t> of Patients</a:t>
          </a:r>
          <a:endParaRPr lang="en-IN" sz="1100"/>
        </a:p>
      </xdr:txBody>
    </xdr:sp>
    <xdr:clientData/>
  </xdr:twoCellAnchor>
  <xdr:twoCellAnchor>
    <xdr:from>
      <xdr:col>4</xdr:col>
      <xdr:colOff>413829</xdr:colOff>
      <xdr:row>4</xdr:row>
      <xdr:rowOff>136738</xdr:rowOff>
    </xdr:from>
    <xdr:to>
      <xdr:col>6</xdr:col>
      <xdr:colOff>282211</xdr:colOff>
      <xdr:row>6</xdr:row>
      <xdr:rowOff>143664</xdr:rowOff>
    </xdr:to>
    <xdr:sp macro="" textlink="Pivot!A11">
      <xdr:nvSpPr>
        <xdr:cNvPr id="40" name="TextBox 39">
          <a:extLst>
            <a:ext uri="{FF2B5EF4-FFF2-40B4-BE49-F238E27FC236}">
              <a16:creationId xmlns:a16="http://schemas.microsoft.com/office/drawing/2014/main" id="{AF736CD8-D5EC-0EC5-A206-E401F80643A6}"/>
            </a:ext>
          </a:extLst>
        </xdr:cNvPr>
        <xdr:cNvSpPr txBox="1"/>
      </xdr:nvSpPr>
      <xdr:spPr>
        <a:xfrm>
          <a:off x="2852229" y="878860"/>
          <a:ext cx="1087582" cy="377987"/>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2843F6-822C-4A77-ACD7-B8E599AFF964}" type="TxLink">
            <a:rPr lang="en-US" sz="1600" b="0" i="0" u="none" strike="noStrike">
              <a:solidFill>
                <a:srgbClr val="000000"/>
              </a:solidFill>
              <a:latin typeface="Aptos Narrow"/>
            </a:rPr>
            <a:pPr algn="ctr"/>
            <a:t>34.76</a:t>
          </a:fld>
          <a:endParaRPr lang="en-IN" sz="2400"/>
        </a:p>
      </xdr:txBody>
    </xdr:sp>
    <xdr:clientData/>
  </xdr:twoCellAnchor>
  <xdr:twoCellAnchor>
    <xdr:from>
      <xdr:col>4</xdr:col>
      <xdr:colOff>373168</xdr:colOff>
      <xdr:row>6</xdr:row>
      <xdr:rowOff>48490</xdr:rowOff>
    </xdr:from>
    <xdr:to>
      <xdr:col>6</xdr:col>
      <xdr:colOff>269260</xdr:colOff>
      <xdr:row>7</xdr:row>
      <xdr:rowOff>117763</xdr:rowOff>
    </xdr:to>
    <xdr:sp macro="" textlink="Pivot!A6">
      <xdr:nvSpPr>
        <xdr:cNvPr id="41" name="TextBox 40">
          <a:extLst>
            <a:ext uri="{FF2B5EF4-FFF2-40B4-BE49-F238E27FC236}">
              <a16:creationId xmlns:a16="http://schemas.microsoft.com/office/drawing/2014/main" id="{70661DB0-903B-E9D2-3BE0-E99AB08802C4}"/>
            </a:ext>
          </a:extLst>
        </xdr:cNvPr>
        <xdr:cNvSpPr txBox="1"/>
      </xdr:nvSpPr>
      <xdr:spPr>
        <a:xfrm>
          <a:off x="2811568" y="1161673"/>
          <a:ext cx="1115292" cy="254803"/>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a:t>
          </a:r>
          <a:r>
            <a:rPr lang="en-IN" sz="1100" baseline="0"/>
            <a:t>. Wait time</a:t>
          </a:r>
          <a:endParaRPr lang="en-IN" sz="1100"/>
        </a:p>
      </xdr:txBody>
    </xdr:sp>
    <xdr:clientData/>
  </xdr:twoCellAnchor>
  <xdr:twoCellAnchor editAs="oneCell">
    <xdr:from>
      <xdr:col>2</xdr:col>
      <xdr:colOff>16312</xdr:colOff>
      <xdr:row>4</xdr:row>
      <xdr:rowOff>118297</xdr:rowOff>
    </xdr:from>
    <xdr:to>
      <xdr:col>2</xdr:col>
      <xdr:colOff>339435</xdr:colOff>
      <xdr:row>6</xdr:row>
      <xdr:rowOff>11724</xdr:rowOff>
    </xdr:to>
    <xdr:pic>
      <xdr:nvPicPr>
        <xdr:cNvPr id="43" name="Graphic 42" descr="Users with solid fill">
          <a:extLst>
            <a:ext uri="{FF2B5EF4-FFF2-40B4-BE49-F238E27FC236}">
              <a16:creationId xmlns:a16="http://schemas.microsoft.com/office/drawing/2014/main" id="{A7AA780C-0AA1-3137-EF26-55E180E39D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5512" y="845128"/>
          <a:ext cx="323123" cy="256842"/>
        </a:xfrm>
        <a:prstGeom prst="rect">
          <a:avLst/>
        </a:prstGeom>
      </xdr:spPr>
    </xdr:pic>
    <xdr:clientData/>
  </xdr:twoCellAnchor>
  <xdr:twoCellAnchor editAs="oneCell">
    <xdr:from>
      <xdr:col>8</xdr:col>
      <xdr:colOff>297872</xdr:colOff>
      <xdr:row>4</xdr:row>
      <xdr:rowOff>166255</xdr:rowOff>
    </xdr:from>
    <xdr:to>
      <xdr:col>9</xdr:col>
      <xdr:colOff>55417</xdr:colOff>
      <xdr:row>6</xdr:row>
      <xdr:rowOff>173181</xdr:rowOff>
    </xdr:to>
    <xdr:pic>
      <xdr:nvPicPr>
        <xdr:cNvPr id="47" name="Graphic 46" descr="Customer review with solid fill">
          <a:extLst>
            <a:ext uri="{FF2B5EF4-FFF2-40B4-BE49-F238E27FC236}">
              <a16:creationId xmlns:a16="http://schemas.microsoft.com/office/drawing/2014/main" id="{EBB91285-2E43-E004-1C99-AC1381320C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74672" y="886691"/>
          <a:ext cx="367145" cy="367145"/>
        </a:xfrm>
        <a:prstGeom prst="rect">
          <a:avLst/>
        </a:prstGeom>
      </xdr:spPr>
    </xdr:pic>
    <xdr:clientData/>
  </xdr:twoCellAnchor>
  <xdr:twoCellAnchor editAs="oneCell">
    <xdr:from>
      <xdr:col>4</xdr:col>
      <xdr:colOff>181708</xdr:colOff>
      <xdr:row>4</xdr:row>
      <xdr:rowOff>134814</xdr:rowOff>
    </xdr:from>
    <xdr:to>
      <xdr:col>5</xdr:col>
      <xdr:colOff>76253</xdr:colOff>
      <xdr:row>6</xdr:row>
      <xdr:rowOff>99093</xdr:rowOff>
    </xdr:to>
    <xdr:pic>
      <xdr:nvPicPr>
        <xdr:cNvPr id="48" name="Picture 47" descr="Clock with solid fill">
          <a:extLst>
            <a:ext uri="{FF2B5EF4-FFF2-40B4-BE49-F238E27FC236}">
              <a16:creationId xmlns:a16="http://schemas.microsoft.com/office/drawing/2014/main" id="{97FB419F-B67E-2722-D817-B0B0879A3708}"/>
            </a:ext>
          </a:extLst>
        </xdr:cNvPr>
        <xdr:cNvPicPr>
          <a:picLocks noChangeAspect="1"/>
        </xdr:cNvPicPr>
      </xdr:nvPicPr>
      <xdr:blipFill>
        <a:blip xmlns:r="http://schemas.openxmlformats.org/officeDocument/2006/relationships" r:embed="rId7"/>
        <a:stretch>
          <a:fillRect/>
        </a:stretch>
      </xdr:blipFill>
      <xdr:spPr>
        <a:xfrm>
          <a:off x="2620108" y="861645"/>
          <a:ext cx="504145" cy="327694"/>
        </a:xfrm>
        <a:prstGeom prst="rect">
          <a:avLst/>
        </a:prstGeom>
      </xdr:spPr>
    </xdr:pic>
    <xdr:clientData/>
  </xdr:twoCellAnchor>
  <xdr:twoCellAnchor editAs="oneCell">
    <xdr:from>
      <xdr:col>0</xdr:col>
      <xdr:colOff>60960</xdr:colOff>
      <xdr:row>4</xdr:row>
      <xdr:rowOff>76200</xdr:rowOff>
    </xdr:from>
    <xdr:to>
      <xdr:col>1</xdr:col>
      <xdr:colOff>457200</xdr:colOff>
      <xdr:row>24</xdr:row>
      <xdr:rowOff>145592</xdr:rowOff>
    </xdr:to>
    <mc:AlternateContent xmlns:mc="http://schemas.openxmlformats.org/markup-compatibility/2006" xmlns:a14="http://schemas.microsoft.com/office/drawing/2010/main">
      <mc:Choice Requires="a14">
        <xdr:graphicFrame macro="">
          <xdr:nvGraphicFramePr>
            <xdr:cNvPr id="50" name="Date (Month) 1">
              <a:extLst>
                <a:ext uri="{FF2B5EF4-FFF2-40B4-BE49-F238E27FC236}">
                  <a16:creationId xmlns:a16="http://schemas.microsoft.com/office/drawing/2014/main" id="{9AF289C6-3F19-4C02-8D92-B881EC70D09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0960" y="818322"/>
              <a:ext cx="1005840" cy="37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411480</xdr:colOff>
      <xdr:row>7</xdr:row>
      <xdr:rowOff>76200</xdr:rowOff>
    </xdr:from>
    <xdr:to>
      <xdr:col>4</xdr:col>
      <xdr:colOff>251460</xdr:colOff>
      <xdr:row>11</xdr:row>
      <xdr:rowOff>76200</xdr:rowOff>
    </xdr:to>
    <xdr:graphicFrame macro="">
      <xdr:nvGraphicFramePr>
        <xdr:cNvPr id="51" name="Chart 50">
          <a:hlinkClick xmlns:r="http://schemas.openxmlformats.org/officeDocument/2006/relationships" r:id="rId8"/>
          <a:extLst>
            <a:ext uri="{FF2B5EF4-FFF2-40B4-BE49-F238E27FC236}">
              <a16:creationId xmlns:a16="http://schemas.microsoft.com/office/drawing/2014/main" id="{22BD682D-25B0-4434-9BD8-7DD06FC22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220980</xdr:colOff>
      <xdr:row>7</xdr:row>
      <xdr:rowOff>53340</xdr:rowOff>
    </xdr:from>
    <xdr:to>
      <xdr:col>6</xdr:col>
      <xdr:colOff>396240</xdr:colOff>
      <xdr:row>10</xdr:row>
      <xdr:rowOff>83820</xdr:rowOff>
    </xdr:to>
    <xdr:graphicFrame macro="">
      <xdr:nvGraphicFramePr>
        <xdr:cNvPr id="12" name="Chart 11">
          <a:hlinkClick xmlns:r="http://schemas.openxmlformats.org/officeDocument/2006/relationships" r:id="rId10"/>
          <a:extLst>
            <a:ext uri="{FF2B5EF4-FFF2-40B4-BE49-F238E27FC236}">
              <a16:creationId xmlns:a16="http://schemas.microsoft.com/office/drawing/2014/main" id="{6B161855-B8A3-4FF6-876D-9976C1B07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495300</xdr:colOff>
      <xdr:row>8</xdr:row>
      <xdr:rowOff>91440</xdr:rowOff>
    </xdr:from>
    <xdr:to>
      <xdr:col>9</xdr:col>
      <xdr:colOff>99060</xdr:colOff>
      <xdr:row>10</xdr:row>
      <xdr:rowOff>91440</xdr:rowOff>
    </xdr:to>
    <xdr:graphicFrame macro="">
      <xdr:nvGraphicFramePr>
        <xdr:cNvPr id="13" name="Chart 12">
          <a:hlinkClick xmlns:r="http://schemas.openxmlformats.org/officeDocument/2006/relationships" r:id="rId12"/>
          <a:extLst>
            <a:ext uri="{FF2B5EF4-FFF2-40B4-BE49-F238E27FC236}">
              <a16:creationId xmlns:a16="http://schemas.microsoft.com/office/drawing/2014/main" id="{32237346-5478-4797-8084-1248EAFD1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549964</xdr:colOff>
          <xdr:row>10</xdr:row>
          <xdr:rowOff>125896</xdr:rowOff>
        </xdr:from>
        <xdr:to>
          <xdr:col>9</xdr:col>
          <xdr:colOff>139148</xdr:colOff>
          <xdr:row>16</xdr:row>
          <xdr:rowOff>19878</xdr:rowOff>
        </xdr:to>
        <xdr:pic>
          <xdr:nvPicPr>
            <xdr:cNvPr id="42" name="Picture 41">
              <a:extLst>
                <a:ext uri="{FF2B5EF4-FFF2-40B4-BE49-F238E27FC236}">
                  <a16:creationId xmlns:a16="http://schemas.microsoft.com/office/drawing/2014/main" id="{5F5F9D8F-F8DD-C911-D098-DD349462093C}"/>
                </a:ext>
              </a:extLst>
            </xdr:cNvPr>
            <xdr:cNvPicPr>
              <a:picLocks noChangeAspect="1" noChangeArrowheads="1"/>
              <a:extLst>
                <a:ext uri="{84589F7E-364E-4C9E-8A38-B11213B215E9}">
                  <a14:cameraTool cellRange="Pivot!$A$45:$D$47" spid="_x0000_s1096"/>
                </a:ext>
              </a:extLst>
            </xdr:cNvPicPr>
          </xdr:nvPicPr>
          <xdr:blipFill>
            <a:blip xmlns:r="http://schemas.openxmlformats.org/officeDocument/2006/relationships" r:embed="rId14"/>
            <a:srcRect/>
            <a:stretch>
              <a:fillRect/>
            </a:stretch>
          </xdr:blipFill>
          <xdr:spPr bwMode="auto">
            <a:xfrm>
              <a:off x="1159564" y="1981200"/>
              <a:ext cx="4465984" cy="1007165"/>
            </a:xfrm>
            <a:prstGeom prst="rect">
              <a:avLst/>
            </a:prstGeom>
            <a:ln>
              <a:noFill/>
            </a:ln>
            <a:effectLst>
              <a:outerShdw blurRad="292100" dist="139700" dir="2700000" algn="tl" rotWithShape="0">
                <a:srgbClr val="333333">
                  <a:alpha val="65000"/>
                </a:srgbClr>
              </a:outerShdw>
            </a:effectLst>
          </xdr:spPr>
        </xdr:pic>
        <xdr:clientData/>
      </xdr:twoCellAnchor>
    </mc:Choice>
    <mc:Fallback/>
  </mc:AlternateContent>
  <xdr:twoCellAnchor>
    <xdr:from>
      <xdr:col>1</xdr:col>
      <xdr:colOff>541018</xdr:colOff>
      <xdr:row>16</xdr:row>
      <xdr:rowOff>112644</xdr:rowOff>
    </xdr:from>
    <xdr:to>
      <xdr:col>9</xdr:col>
      <xdr:colOff>172278</xdr:colOff>
      <xdr:row>24</xdr:row>
      <xdr:rowOff>119271</xdr:rowOff>
    </xdr:to>
    <xdr:graphicFrame macro="">
      <xdr:nvGraphicFramePr>
        <xdr:cNvPr id="44" name="Chart 43">
          <a:extLst>
            <a:ext uri="{FF2B5EF4-FFF2-40B4-BE49-F238E27FC236}">
              <a16:creationId xmlns:a16="http://schemas.microsoft.com/office/drawing/2014/main" id="{A054C3D3-E3B0-460C-A1A9-562CCE6C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245165</xdr:colOff>
      <xdr:row>0</xdr:row>
      <xdr:rowOff>139148</xdr:rowOff>
    </xdr:from>
    <xdr:to>
      <xdr:col>12</xdr:col>
      <xdr:colOff>225287</xdr:colOff>
      <xdr:row>8</xdr:row>
      <xdr:rowOff>152400</xdr:rowOff>
    </xdr:to>
    <xdr:graphicFrame macro="">
      <xdr:nvGraphicFramePr>
        <xdr:cNvPr id="18" name="Chart 17">
          <a:extLst>
            <a:ext uri="{FF2B5EF4-FFF2-40B4-BE49-F238E27FC236}">
              <a16:creationId xmlns:a16="http://schemas.microsoft.com/office/drawing/2014/main" id="{F5E2F9E3-63BC-476B-B73B-6DE247F60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185530</xdr:colOff>
      <xdr:row>7</xdr:row>
      <xdr:rowOff>165652</xdr:rowOff>
    </xdr:from>
    <xdr:to>
      <xdr:col>11</xdr:col>
      <xdr:colOff>589721</xdr:colOff>
      <xdr:row>9</xdr:row>
      <xdr:rowOff>112643</xdr:rowOff>
    </xdr:to>
    <xdr:sp macro="" textlink="">
      <xdr:nvSpPr>
        <xdr:cNvPr id="22" name="TextBox 21">
          <a:extLst>
            <a:ext uri="{FF2B5EF4-FFF2-40B4-BE49-F238E27FC236}">
              <a16:creationId xmlns:a16="http://schemas.microsoft.com/office/drawing/2014/main" id="{542B1D62-7CB5-4F22-0D32-140EE18E2F34}"/>
            </a:ext>
          </a:extLst>
        </xdr:cNvPr>
        <xdr:cNvSpPr txBox="1"/>
      </xdr:nvSpPr>
      <xdr:spPr>
        <a:xfrm>
          <a:off x="5671930" y="1464365"/>
          <a:ext cx="1623391" cy="318052"/>
        </a:xfrm>
        <a:prstGeom prst="rect">
          <a:avLst/>
        </a:prstGeom>
        <a:solidFill>
          <a:schemeClr val="tx2">
            <a:lumMod val="10000"/>
            <a:lumOff val="90000"/>
          </a:schemeClr>
        </a:solidFill>
        <a:ln w="9525" cmpd="sng">
          <a:noFill/>
        </a:ln>
        <a:effectLst>
          <a:softEdge rad="317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nchorCtr="0"/>
        <a:lstStyle/>
        <a:p>
          <a:pPr algn="ctr"/>
          <a:r>
            <a:rPr lang="en-IN" sz="1100"/>
            <a:t>Patients</a:t>
          </a:r>
          <a:r>
            <a:rPr lang="en-IN" sz="1100" baseline="0"/>
            <a:t> </a:t>
          </a:r>
          <a:r>
            <a:rPr lang="en-IN" sz="1100" baseline="0">
              <a:solidFill>
                <a:schemeClr val="tx1"/>
              </a:solidFill>
            </a:rPr>
            <a:t>Attendace</a:t>
          </a:r>
          <a:r>
            <a:rPr lang="en-IN" sz="1100" baseline="0"/>
            <a:t> Status</a:t>
          </a:r>
          <a:endParaRPr lang="en-IN" sz="1100"/>
        </a:p>
      </xdr:txBody>
    </xdr:sp>
    <xdr:clientData/>
  </xdr:twoCellAnchor>
  <xdr:twoCellAnchor>
    <xdr:from>
      <xdr:col>12</xdr:col>
      <xdr:colOff>49365</xdr:colOff>
      <xdr:row>0</xdr:row>
      <xdr:rowOff>115354</xdr:rowOff>
    </xdr:from>
    <xdr:to>
      <xdr:col>16</xdr:col>
      <xdr:colOff>523461</xdr:colOff>
      <xdr:row>9</xdr:row>
      <xdr:rowOff>152400</xdr:rowOff>
    </xdr:to>
    <xdr:graphicFrame macro="">
      <xdr:nvGraphicFramePr>
        <xdr:cNvPr id="45" name="Chart 44">
          <a:extLst>
            <a:ext uri="{FF2B5EF4-FFF2-40B4-BE49-F238E27FC236}">
              <a16:creationId xmlns:a16="http://schemas.microsoft.com/office/drawing/2014/main" id="{57704E0C-9022-4127-87EE-D74734D80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231912</xdr:colOff>
      <xdr:row>8</xdr:row>
      <xdr:rowOff>79512</xdr:rowOff>
    </xdr:from>
    <xdr:to>
      <xdr:col>16</xdr:col>
      <xdr:colOff>364433</xdr:colOff>
      <xdr:row>9</xdr:row>
      <xdr:rowOff>119268</xdr:rowOff>
    </xdr:to>
    <xdr:sp macro="" textlink="">
      <xdr:nvSpPr>
        <xdr:cNvPr id="52" name="TextBox 51">
          <a:extLst>
            <a:ext uri="{FF2B5EF4-FFF2-40B4-BE49-F238E27FC236}">
              <a16:creationId xmlns:a16="http://schemas.microsoft.com/office/drawing/2014/main" id="{F420F2E1-90EF-F6BF-EB64-6C9782A9C622}"/>
            </a:ext>
          </a:extLst>
        </xdr:cNvPr>
        <xdr:cNvSpPr txBox="1"/>
      </xdr:nvSpPr>
      <xdr:spPr>
        <a:xfrm>
          <a:off x="7547112" y="1563755"/>
          <a:ext cx="2570921" cy="225287"/>
        </a:xfrm>
        <a:prstGeom prst="rect">
          <a:avLst/>
        </a:prstGeom>
        <a:solidFill>
          <a:schemeClr val="tx2">
            <a:lumMod val="10000"/>
            <a:lumOff val="90000"/>
          </a:schemeClr>
        </a:solidFill>
        <a:ln w="9525" cmpd="sng">
          <a:noFill/>
        </a:ln>
        <a:effectLst>
          <a:softEdge rad="317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nchorCtr="0"/>
        <a:lstStyle/>
        <a:p>
          <a:pPr algn="ctr"/>
          <a:r>
            <a:rPr lang="en-IN" sz="1100"/>
            <a:t>Gender</a:t>
          </a:r>
          <a:r>
            <a:rPr lang="en-IN" sz="1100" baseline="0"/>
            <a:t> Wise Analysis</a:t>
          </a:r>
          <a:endParaRPr lang="en-IN" sz="1100"/>
        </a:p>
      </xdr:txBody>
    </xdr:sp>
    <xdr:clientData/>
  </xdr:twoCellAnchor>
  <xdr:twoCellAnchor>
    <xdr:from>
      <xdr:col>9</xdr:col>
      <xdr:colOff>202699</xdr:colOff>
      <xdr:row>10</xdr:row>
      <xdr:rowOff>6625</xdr:rowOff>
    </xdr:from>
    <xdr:to>
      <xdr:col>16</xdr:col>
      <xdr:colOff>536713</xdr:colOff>
      <xdr:row>24</xdr:row>
      <xdr:rowOff>152399</xdr:rowOff>
    </xdr:to>
    <xdr:graphicFrame macro="">
      <xdr:nvGraphicFramePr>
        <xdr:cNvPr id="53" name="Chart 52">
          <a:extLst>
            <a:ext uri="{FF2B5EF4-FFF2-40B4-BE49-F238E27FC236}">
              <a16:creationId xmlns:a16="http://schemas.microsoft.com/office/drawing/2014/main" id="{1AEEFBCD-D9CE-4E18-B926-3BCCCB21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212034</xdr:colOff>
      <xdr:row>0</xdr:row>
      <xdr:rowOff>53008</xdr:rowOff>
    </xdr:from>
    <xdr:to>
      <xdr:col>9</xdr:col>
      <xdr:colOff>128859</xdr:colOff>
      <xdr:row>4</xdr:row>
      <xdr:rowOff>53006</xdr:rowOff>
    </xdr:to>
    <mc:AlternateContent xmlns:mc="http://schemas.openxmlformats.org/markup-compatibility/2006" xmlns:a14="http://schemas.microsoft.com/office/drawing/2010/main">
      <mc:Choice Requires="a14">
        <xdr:graphicFrame macro="">
          <xdr:nvGraphicFramePr>
            <xdr:cNvPr id="54" name="Date (Year) 1">
              <a:extLst>
                <a:ext uri="{FF2B5EF4-FFF2-40B4-BE49-F238E27FC236}">
                  <a16:creationId xmlns:a16="http://schemas.microsoft.com/office/drawing/2014/main" id="{4D9F11C8-FA17-4F7F-B1F4-B99EC6AEB11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479234" y="53008"/>
              <a:ext cx="1136025" cy="74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502920</xdr:colOff>
      <xdr:row>1</xdr:row>
      <xdr:rowOff>83820</xdr:rowOff>
    </xdr:from>
    <xdr:to>
      <xdr:col>12</xdr:col>
      <xdr:colOff>563880</xdr:colOff>
      <xdr:row>18</xdr:row>
      <xdr:rowOff>167640</xdr:rowOff>
    </xdr:to>
    <xdr:graphicFrame macro="">
      <xdr:nvGraphicFramePr>
        <xdr:cNvPr id="2" name="Chart 1">
          <a:extLst>
            <a:ext uri="{FF2B5EF4-FFF2-40B4-BE49-F238E27FC236}">
              <a16:creationId xmlns:a16="http://schemas.microsoft.com/office/drawing/2014/main" id="{1A9C7D1B-842A-4367-84C6-2E6F4A391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0.9666</cdr:x>
      <cdr:y>0.04216</cdr:y>
    </cdr:from>
    <cdr:to>
      <cdr:x>1</cdr:x>
      <cdr:y>0.11933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7E6EFD-B8C8-032B-5A41-ACDA5D9ABE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129787" y="134620"/>
          <a:ext cx="246373" cy="2463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0</xdr:colOff>
      <xdr:row>3</xdr:row>
      <xdr:rowOff>0</xdr:rowOff>
    </xdr:from>
    <xdr:to>
      <xdr:col>12</xdr:col>
      <xdr:colOff>220980</xdr:colOff>
      <xdr:row>18</xdr:row>
      <xdr:rowOff>0</xdr:rowOff>
    </xdr:to>
    <xdr:graphicFrame macro="">
      <xdr:nvGraphicFramePr>
        <xdr:cNvPr id="3" name="Chart 2">
          <a:extLst>
            <a:ext uri="{FF2B5EF4-FFF2-40B4-BE49-F238E27FC236}">
              <a16:creationId xmlns:a16="http://schemas.microsoft.com/office/drawing/2014/main" id="{19BF6E0E-7481-4584-8E1D-40949335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0.00733</cdr:x>
      <cdr:y>0.01852</cdr:y>
    </cdr:from>
    <cdr:to>
      <cdr:x>0.0429</cdr:x>
      <cdr:y>0.10833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A7CDFA5-BEDE-43B7-AC30-2A2C5985EE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246373" cy="2463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304800</xdr:colOff>
      <xdr:row>2</xdr:row>
      <xdr:rowOff>15240</xdr:rowOff>
    </xdr:from>
    <xdr:to>
      <xdr:col>10</xdr:col>
      <xdr:colOff>114300</xdr:colOff>
      <xdr:row>14</xdr:row>
      <xdr:rowOff>167640</xdr:rowOff>
    </xdr:to>
    <xdr:graphicFrame macro="">
      <xdr:nvGraphicFramePr>
        <xdr:cNvPr id="2" name="Chart 1">
          <a:extLst>
            <a:ext uri="{FF2B5EF4-FFF2-40B4-BE49-F238E27FC236}">
              <a16:creationId xmlns:a16="http://schemas.microsoft.com/office/drawing/2014/main" id="{DCCF46FD-8E71-463E-A9B4-B6FD8C3B8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0.91367</cdr:x>
      <cdr:y>0</cdr:y>
    </cdr:from>
    <cdr:to>
      <cdr:x>0.99712</cdr:x>
      <cdr:y>0.18831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5DC9CB6-C6FF-E93F-38E5-B3F95DF53B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838700" y="0"/>
          <a:ext cx="441960" cy="44196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39351848" createdVersion="5" refreshedVersion="8" minRefreshableVersion="3" recordCount="0" supportSubquery="1" supportAdvancedDrill="1" xr:uid="{8DB123AF-3B40-4017-8252-E2430AAFA7C0}">
  <cacheSource type="external" connectionId="3"/>
  <cacheFields count="4">
    <cacheField name="[Measures].[Distinct Count of Patient Id]" caption="Distinct Count of Patient Id" numFmtId="0" hierarchy="26" level="32767"/>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39699072" createdVersion="5" refreshedVersion="8" minRefreshableVersion="3" recordCount="0" supportSubquery="1" supportAdvancedDrill="1" xr:uid="{43B30C40-7880-4B4F-BB4D-C4C36B618C4E}">
  <cacheSource type="external" connectionId="3"/>
  <cacheFields count="3">
    <cacheField name="[Measures].[Distinct Count of Patient Id]" caption="Distinct Count of Patient Id"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0046295" createdVersion="5" refreshedVersion="8" minRefreshableVersion="3" recordCount="0" supportSubquery="1" supportAdvancedDrill="1" xr:uid="{693B3A29-CE6D-4841-897F-908EFAAD7751}">
  <cacheSource type="external" connectionId="3"/>
  <cacheFields count="3">
    <cacheField name="[Measures].[Average of Patient Wait time]" caption="Average of Patient Wait 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0393518" createdVersion="5" refreshedVersion="8" minRefreshableVersion="3" recordCount="0" supportSubquery="1" supportAdvancedDrill="1" xr:uid="{8883215A-DC25-47C3-B5D1-DE166E98E3BF}">
  <cacheSource type="external" connectionId="3"/>
  <cacheFields count="3">
    <cacheField name="[Measures].[Average of Patient Satisfaction Score]" caption="Average of Patient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1087965" createdVersion="5" refreshedVersion="8" minRefreshableVersion="3" recordCount="0" supportSubquery="1" supportAdvancedDrill="1" xr:uid="{FB5995C4-2BCA-4D1A-B7BF-C25F1E82FF39}">
  <cacheSource type="external" connectionId="3"/>
  <cacheFields count="4">
    <cacheField name="[Calenda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 name="[Measures].[Average of Patient Wait time]" caption="Average of Patient Wait tim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1782404" createdVersion="5" refreshedVersion="8" minRefreshableVersion="3" recordCount="0" supportSubquery="1" supportAdvancedDrill="1" xr:uid="{ADD766E7-2810-48F9-ABB4-F12D2BD15CD6}">
  <cacheSource type="external" connectionId="3"/>
  <cacheFields count="4">
    <cacheField name="[Calendar_Table].[Date (Day)].[Date (Day)]" caption="Date (Day)" numFmtId="0" hierarchy="2" level="1">
      <sharedItems count="29">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247685" createdVersion="5" refreshedVersion="8" minRefreshableVersion="3" recordCount="0" supportSubquery="1" supportAdvancedDrill="1" xr:uid="{808E4916-EE66-4083-91A0-A05335337CA5}">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  1].[Patient Admission Flag].[Patient Admission Flag]" caption="Patient Admission Flag" numFmtId="0" hierarchy="13" level="1">
      <sharedItems count="2">
        <s v="Admitted"/>
        <s v="Non Admitted"/>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3171297" createdVersion="5" refreshedVersion="8" minRefreshableVersion="3" recordCount="0" supportSubquery="1" supportAdvancedDrill="1" xr:uid="{CF42165B-68D9-484D-8299-175F55D92BBE}">
  <cacheSource type="external" connectionId="3"/>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n Admitted"/>
      </sharedItems>
    </cacheField>
    <cacheField name="[Hospital Emergency Room Data  1].[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2"/>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3749997" createdVersion="5" refreshedVersion="8" minRefreshableVersion="3" recordCount="0" supportSubquery="1" supportAdvancedDrill="1" xr:uid="{AD7B9FC2-3870-4680-ACD8-AD4F6A6C1FC2}">
  <cacheSource type="external" connectionId="3"/>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n Admitted"/>
      </sharedItems>
    </cacheField>
    <cacheField name="[Hospital Emergency Room Data  1].[Patient Attend Status].[Patient Attend Status]" caption="Patient Attend Status" numFmtId="0" hierarchy="17" level="1">
      <sharedItems count="2">
        <s v="Delay"/>
        <s v="Ontime"/>
      </sharedItems>
    </cacheField>
    <cacheField name="[Measures].[Count of Patient Id]" caption="Count of Patient Id" numFmtId="0" hierarchy="2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oneField="1" hidden="1">
      <fieldsUsage count="1">
        <fieldUsage x="3"/>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4328705" createdVersion="5" refreshedVersion="8" minRefreshableVersion="3" recordCount="0" supportSubquery="1" supportAdvancedDrill="1" xr:uid="{3A84EE75-5128-4710-8BE5-BEB8400A66A7}">
  <cacheSource type="external" connectionId="3"/>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n Admitted"/>
      </sharedItems>
    </cacheField>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5023152" createdVersion="5" refreshedVersion="8" minRefreshableVersion="3" recordCount="0" supportSubquery="1" supportAdvancedDrill="1" xr:uid="{1659ABD0-72C1-4CAE-AB45-D70469D64C97}">
  <cacheSource type="external" connectionId="3"/>
  <cacheFields count="5">
    <cacheField name="[Calenda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n Admitted"/>
      </sharedItems>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2"/>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YED  MOHAMMED GHOUS" refreshedDate="46218.719845833337" createdVersion="5" refreshedVersion="8" minRefreshableVersion="3" recordCount="0" supportSubquery="1" supportAdvancedDrill="1" xr:uid="{147A600E-0939-4F4E-AF9B-DF68751F0F9A}">
  <cacheSource type="external" connectionId="3"/>
  <cacheFields count="5">
    <cacheField name="[Calendar_Table].[Date (Month)].[Date (Month)]" caption="Date (Month)" numFmtId="0" hierarchy="1" level="1">
      <sharedItems count="1">
        <s v="Dec"/>
      </sharedItems>
    </cacheField>
    <cacheField name="[Hospital Emergency Room Data  1].[Patient Admission Flag].[Patient Admission Flag]" caption="Patient Admission Flag" numFmtId="0" hierarchy="13" level="1">
      <sharedItems count="2">
        <s v="Admitted"/>
        <s v="Non Admitted"/>
      </sharedItems>
    </cacheField>
    <cacheField name="[Calendar_Table].[Date].[Date]" caption="Date" numFmtId="0" level="1">
      <sharedItems containsSemiMixedTypes="0" containsNonDate="0" containsDate="1" containsString="0" minDate="2023-12-01T00:00:00" maxDate="2024-01-01T00:00:00" count="31">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MOHAMMED GHOUS" refreshedDate="46218.704081481483" createdVersion="3" refreshedVersion="8" minRefreshableVersion="3" recordCount="0" supportSubquery="1" supportAdvancedDrill="1" xr:uid="{391CDCEC-FEF0-46E9-9A71-75516C0A725E}">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Name]" caption="Patient Name" attribute="1" defaultMemberUniqueName="[Hospital Emergency Room Data  1].[Patient Name].[All]" allUniqueName="[Hospital Emergency Room Data  1].[Patient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 time]" caption="Patient Wait time" attribute="1" defaultMemberUniqueName="[Hospital Emergency Room Data  1].[Patient Wait time].[All]" allUniqueName="[Hospital Emergency Room Data  1].[Patient Wait 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1" count="0" hidden="1">
      <extLst>
        <ext xmlns:x15="http://schemas.microsoft.com/office/spreadsheetml/2010/11/main" uri="{B97F6D7D-B522-45F9-BDA1-12C45D357490}">
          <x15:cacheHierarchy aggregatedColumn="8"/>
        </ext>
      </extLst>
    </cacheHierarchy>
    <cacheHierarchy uniqueName="[Measures].[Count of Patient Admission Time]" caption="Count of Patient Admission Time" measure="1" displayFolder="" measureGroup="Hospital Emergency Room Data  1" count="0" hidden="1">
      <extLst>
        <ext xmlns:x15="http://schemas.microsoft.com/office/spreadsheetml/2010/11/main" uri="{B97F6D7D-B522-45F9-BDA1-12C45D357490}">
          <x15:cacheHierarchy aggregatedColumn="7"/>
        </ext>
      </extLst>
    </cacheHierarchy>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31770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8C8B5-7391-4CDE-83C0-A07AEC1EFEC2}" name="PivotTable3" cacheId="5" applyNumberFormats="0" applyBorderFormats="0" applyFontFormats="0" applyPatternFormats="0" applyAlignmentFormats="0" applyWidthHeightFormats="1" dataCaption="Values" tag="076eef70-d46a-4847-9787-4f90165eafa4" updatedVersion="8" minRefreshableVersion="3" subtotalHiddenItems="1" itemPrintTitles="1" createdVersion="5" indent="0" outline="1" outlineData="1" multipleFieldFilters="0" chartFormat="51">
  <location ref="M6:N36"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0">
      <pivotArea outline="0" collapsedLevelsAreSubtotals="1" fieldPosition="0"/>
    </format>
  </formats>
  <chartFormats count="2">
    <chartFormat chart="46"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08181-5AAB-4209-95B7-C7178A3DF2EF}" name="PivotTable10" cacheId="9" applyNumberFormats="0" applyBorderFormats="0" applyFontFormats="0" applyPatternFormats="0" applyAlignmentFormats="0" applyWidthHeightFormats="1" dataCaption="Values" tag="9d11c509-be8e-4eed-a7b4-6d15b73c44d7" updatedVersion="8" minRefreshableVersion="3" subtotalHiddenItems="1" itemPrintTitles="1" createdVersion="5" indent="0" outline="1" outlineData="1" multipleFieldFilters="0" chartFormat="76">
  <location ref="L48:M51"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1">
      <pivotArea outline="0" collapsedLevelsAreSubtotals="1" fieldPosition="0"/>
    </format>
  </formats>
  <chartFormats count="3">
    <chartFormat chart="73" format="4" series="1">
      <pivotArea type="data" outline="0" fieldPosition="0">
        <references count="1">
          <reference field="4294967294" count="1" selected="0">
            <x v="0"/>
          </reference>
        </references>
      </pivotArea>
    </chartFormat>
    <chartFormat chart="73" format="5">
      <pivotArea type="data" outline="0" fieldPosition="0">
        <references count="2">
          <reference field="4294967294" count="1" selected="0">
            <x v="0"/>
          </reference>
          <reference field="2" count="1" selected="0">
            <x v="0"/>
          </reference>
        </references>
      </pivotArea>
    </chartFormat>
    <chartFormat chart="73"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0EA53-78C2-4E0C-B53A-A5C3D0647DFD}" name="PivotTable8" cacheId="0" applyNumberFormats="0" applyBorderFormats="0" applyFontFormats="0" applyPatternFormats="0" applyAlignmentFormats="0" applyWidthHeightFormats="1" dataCaption="Values" tag="147babc7-7c89-4a3c-9e2c-33bb64967ca3" updatedVersion="8" minRefreshableVersion="3" subtotalHiddenItems="1" itemPrintTitles="1" createdVersion="5" indent="0" outline="1" outlineData="1" multipleFieldFilters="0" chartFormat="34">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3"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7B5423-BA7B-49C8-8820-744A7AEE0593}" name="PivotTable6" cacheId="7" applyNumberFormats="0" applyBorderFormats="0" applyFontFormats="0" applyPatternFormats="0" applyAlignmentFormats="0" applyWidthHeightFormats="1" dataCaption="Values" tag="9d11c509-be8e-4eed-a7b4-6d15b73c44d7" updatedVersion="8" minRefreshableVersion="3" subtotalHiddenItems="1" itemPrintTitles="1" createdVersion="5" indent="0" outline="1" outlineData="1" multipleFieldFilters="0" chartFormat="52">
  <location ref="H42:I51"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1">
    <format dxfId="2">
      <pivotArea outline="0" collapsedLevelsAreSubtotals="1" fieldPosition="0"/>
    </format>
  </formats>
  <chartFormats count="3">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6104B9-3699-484D-B497-9C3D14A76CBB}" name="PivotTable12" cacheId="11" applyNumberFormats="0" applyBorderFormats="0" applyFontFormats="0" applyPatternFormats="0" applyAlignmentFormats="0" applyWidthHeightFormats="1" dataCaption="Values" tag="9d11c509-be8e-4eed-a7b4-6d15b73c44d7" updatedVersion="8" minRefreshableVersion="3" subtotalHiddenItems="1" itemPrintTitles="1" createdVersion="5" indent="0" outline="1" outlineData="1" multipleFieldFilters="0" chartFormat="52">
  <location ref="A54:A89" firstHeaderRow="1" firstDataRow="1" firstDataCol="1"/>
  <pivotFields count="5">
    <pivotField axis="axisRow" allDrilled="1" subtotalTop="0" showAll="0" dataSourceSort="1" defaultSubtotal="0" defaultAttributeDrillState="1">
      <items count="1">
        <item s="1" x="0"/>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4"/>
    <field x="3"/>
    <field x="0"/>
    <field x="2"/>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3">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D2517F-4E05-4985-BCED-67AECB35CDC2}" name="PivotTable7" cacheId="8" applyNumberFormats="0" applyBorderFormats="0" applyFontFormats="0" applyPatternFormats="0" applyAlignmentFormats="0" applyWidthHeightFormats="1" dataCaption="Values" tag="9d11c509-be8e-4eed-a7b4-6d15b73c44d7" updatedVersion="8" minRefreshableVersion="3" subtotalHiddenItems="1" itemPrintTitles="1" createdVersion="5" indent="0" outline="1" outlineData="1" multipleFieldFilters="0" chartFormat="68">
  <location ref="L40:M43"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3" subtotal="count" baseField="0" baseItem="0"/>
  </dataFields>
  <formats count="1">
    <format dxfId="4">
      <pivotArea outline="0" collapsedLevelsAreSubtotals="1" fieldPosition="0"/>
    </format>
  </formats>
  <chartFormats count="3">
    <chartFormat chart="65" format="6" series="1">
      <pivotArea type="data" outline="0" fieldPosition="0">
        <references count="1">
          <reference field="4294967294" count="1" selected="0">
            <x v="0"/>
          </reference>
        </references>
      </pivotArea>
    </chartFormat>
    <chartFormat chart="65" format="7">
      <pivotArea type="data" outline="0" fieldPosition="0">
        <references count="2">
          <reference field="4294967294" count="1" selected="0">
            <x v="0"/>
          </reference>
          <reference field="2" count="1" selected="0">
            <x v="0"/>
          </reference>
        </references>
      </pivotArea>
    </chartFormat>
    <chartFormat chart="65" format="8">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446395-A480-49BC-B517-ED052F31F4F5}" name="PivotTable1" cacheId="1" applyNumberFormats="0" applyBorderFormats="0" applyFontFormats="0" applyPatternFormats="0" applyAlignmentFormats="0" applyWidthHeightFormats="1" dataCaption="Values" tag="5f66a0e2-22d8-4435-9ea3-e49bd69a99bf"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3AACAD-307D-44E2-8214-3CEE671B0640}" name="PivotTable5" cacheId="6" applyNumberFormats="0" applyBorderFormats="0" applyFontFormats="0" applyPatternFormats="0" applyAlignmentFormats="0" applyWidthHeightFormats="1" dataCaption="Values" tag="eb2351d2-0b61-49d5-831d-edcb74232901" updatedVersion="8" minRefreshableVersion="3" subtotalHiddenItems="1" itemPrintTitles="1" createdVersion="5" indent="0" outline="1" outlineData="1" multipleFieldFilters="0" chartFormat="46">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ttend Status" fld="3" subtotal="count" showDataAs="percentOfTotal" baseField="0" baseItem="0" numFmtId="10"/>
  </dataFields>
  <formats count="4">
    <format dxfId="8">
      <pivotArea outline="0" collapsedLevelsAreSubtotals="1" fieldPosition="0"/>
    </format>
    <format dxfId="7">
      <pivotArea outline="0" fieldPosition="0">
        <references count="1">
          <reference field="4294967294" count="1">
            <x v="1"/>
          </reference>
        </references>
      </pivotArea>
    </format>
    <format dxfId="6">
      <pivotArea collapsedLevelsAreSubtotals="1" fieldPosition="0">
        <references count="2">
          <reference field="4294967294" count="1" selected="0">
            <x v="1"/>
          </reference>
          <reference field="2" count="1">
            <x v="0"/>
          </reference>
        </references>
      </pivotArea>
    </format>
    <format dxfId="5">
      <pivotArea collapsedLevelsAreSubtotals="1" fieldPosition="0">
        <references count="2">
          <reference field="4294967294" count="1" selected="0">
            <x v="1"/>
          </reference>
          <reference field="2"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399629-B18F-44A7-9649-F25FDBC5D27F}" name="PivotTable11" cacheId="10" applyNumberFormats="0" applyBorderFormats="0" applyFontFormats="0" applyPatternFormats="0" applyAlignmentFormats="0" applyWidthHeightFormats="1" dataCaption="Values" tag="9d11c509-be8e-4eed-a7b4-6d15b73c44d7" updatedVersion="8" minRefreshableVersion="3" subtotalHiddenItems="1" itemPrintTitles="1" createdVersion="5" indent="0" outline="1" outlineData="1" multipleFieldFilters="0" chartFormat="80">
  <location ref="L56:M65"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1"/>
    </i>
    <i>
      <x v="3"/>
    </i>
    <i>
      <x v="6"/>
    </i>
    <i>
      <x/>
    </i>
    <i>
      <x v="5"/>
    </i>
    <i>
      <x v="2"/>
    </i>
    <i>
      <x v="4"/>
    </i>
    <i t="grand">
      <x/>
    </i>
  </rowItems>
  <colItems count="1">
    <i/>
  </colItems>
  <dataFields count="1">
    <dataField name="Count of Department Referral" fld="3" subtotal="count" baseField="0" baseItem="0"/>
  </dataFields>
  <formats count="1">
    <format dxfId="9">
      <pivotArea outline="0" collapsedLevelsAreSubtotals="1" fieldPosition="0"/>
    </format>
  </formats>
  <chartFormats count="2">
    <chartFormat chart="76"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5B39A1-7D39-45F8-A971-285FD8C98CDB}" name="PivotTable9" cacheId="4" applyNumberFormats="0" applyBorderFormats="0" applyFontFormats="0" applyPatternFormats="0" applyAlignmentFormats="0" applyWidthHeightFormats="1" dataCaption="Values" tag="0576bac9-9355-404a-8edf-61adda259fec" updatedVersion="8" minRefreshableVersion="3" subtotalHiddenItems="1" itemPrintTitles="1" createdVersion="5" indent="0" outline="1" outlineData="1" multipleFieldFilters="0" chartFormat="43">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 time" fld="2" subtotal="average" baseField="0" baseItem="0" numFmtId="2"/>
  </dataFields>
  <formats count="1">
    <format dxfId="10">
      <pivotArea outline="0" collapsedLevelsAreSubtotals="1" fieldPosition="0"/>
    </format>
  </formats>
  <chartFormats count="4">
    <chartFormat chart="28"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1229B7-7492-4E73-9343-153E6CAED6C3}" name="PivotTable4" cacheId="3" applyNumberFormats="0" applyBorderFormats="0" applyFontFormats="0" applyPatternFormats="0" applyAlignmentFormats="0" applyWidthHeightFormats="1" dataCaption="Values" tag="744b9dd4-7baf-410c-9ced-6b43c6b4f76c"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C88B81-80D7-4129-80EA-05F471C68903}" name="PivotTable2" cacheId="2" applyNumberFormats="0" applyBorderFormats="0" applyFontFormats="0" applyPatternFormats="0" applyAlignmentFormats="0" applyWidthHeightFormats="1" dataCaption="Values" tag="f88fe417-e778-4b39-8d66-3f9fb45fa20c"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12">
      <pivotArea outline="0" collapsedLevelsAreSubtotals="1" fieldPosition="0"/>
    </format>
  </formats>
  <pivotHierarchies count="36">
    <pivotHierarchy dragToData="1"/>
    <pivotHierarchy multipleItemSelectionAllowed="1" dragToData="1">
      <members count="1" level="1">
        <member name="[Calendar_Table].[Date (Month)].&amp;[Dec]"/>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AD4D417-7685-4B2F-8622-9EFFF5AC7326}" sourceName="[Calendar_Table].[Date (Month)]">
  <pivotTables>
    <pivotTable tabId="1" name="PivotTable8"/>
    <pivotTable tabId="1" name="PivotTable1"/>
    <pivotTable tabId="1" name="PivotTable2"/>
    <pivotTable tabId="1" name="PivotTable4"/>
    <pivotTable tabId="1" name="PivotTable9"/>
    <pivotTable tabId="1" name="PivotTable3"/>
    <pivotTable tabId="1" name="PivotTable5"/>
    <pivotTable tabId="1" name="PivotTable6"/>
    <pivotTable tabId="1" name="PivotTable7"/>
    <pivotTable tabId="1" name="PivotTable10"/>
    <pivotTable tabId="1" name="PivotTable11"/>
    <pivotTable tabId="1" name="PivotTable12"/>
  </pivotTables>
  <data>
    <olap pivotCacheId="142317706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D3CE21F-387B-45A1-862B-2AA3C58F39EF}"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2317706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B2D9285-DAE0-49C2-835C-06532E93D867}" cache="Slicer_Date__Year" caption="Date (Year)" showCaption="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5B170C7-BBCE-463F-9996-BAA2B6157CA3}" cache="Slicer_Date__Month" caption="Date (Month)" showCaption="0" level="1" style="My style" rowHeight="252000"/>
  <slicer name="Date (Year) 1" xr10:uid="{E15005F0-B925-4CE0-8715-61DBC0A13E3C}" cache="Slicer_Date__Year" caption="Date (Year)" columnCount="2" showCaption="0" level="1" style="My style"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4D72E-5720-464D-AD79-8C73E2CBFEB2}">
  <dimension ref="A4:N89"/>
  <sheetViews>
    <sheetView topLeftCell="A38" workbookViewId="0">
      <selection activeCell="A45" sqref="A45:D47"/>
    </sheetView>
  </sheetViews>
  <sheetFormatPr defaultRowHeight="14.4" x14ac:dyDescent="0.3"/>
  <cols>
    <col min="1" max="1" width="15.21875" customWidth="1"/>
    <col min="2" max="2" width="12.44140625" customWidth="1"/>
    <col min="3" max="3" width="16.33203125" customWidth="1"/>
    <col min="4" max="4" width="17.5546875" customWidth="1"/>
    <col min="7" max="7" width="23.33203125" bestFit="1" customWidth="1"/>
    <col min="9" max="9" width="16" customWidth="1"/>
    <col min="13" max="13" width="26.5546875" customWidth="1"/>
  </cols>
  <sheetData>
    <row r="4" spans="1:14" x14ac:dyDescent="0.3">
      <c r="A4" t="s">
        <v>1</v>
      </c>
      <c r="C4" t="s">
        <v>7</v>
      </c>
      <c r="G4" t="s">
        <v>8</v>
      </c>
    </row>
    <row r="5" spans="1:14" x14ac:dyDescent="0.3">
      <c r="A5" t="s">
        <v>0</v>
      </c>
      <c r="C5" s="3" t="s">
        <v>4</v>
      </c>
      <c r="D5" t="s">
        <v>0</v>
      </c>
      <c r="G5" s="3" t="s">
        <v>4</v>
      </c>
      <c r="H5" t="s">
        <v>2</v>
      </c>
    </row>
    <row r="6" spans="1:14" x14ac:dyDescent="0.3">
      <c r="A6">
        <v>489</v>
      </c>
      <c r="C6" s="4" t="s">
        <v>33</v>
      </c>
      <c r="D6">
        <v>16</v>
      </c>
      <c r="G6" s="4" t="s">
        <v>33</v>
      </c>
      <c r="H6" s="1">
        <v>34.5</v>
      </c>
      <c r="M6" s="3" t="s">
        <v>4</v>
      </c>
      <c r="N6" t="s">
        <v>3</v>
      </c>
    </row>
    <row r="7" spans="1:14" x14ac:dyDescent="0.3">
      <c r="C7" s="4" t="s">
        <v>34</v>
      </c>
      <c r="D7">
        <v>15</v>
      </c>
      <c r="G7" s="4" t="s">
        <v>34</v>
      </c>
      <c r="H7" s="1">
        <v>35.4</v>
      </c>
      <c r="M7" s="4" t="s">
        <v>33</v>
      </c>
      <c r="N7" s="1">
        <v>9</v>
      </c>
    </row>
    <row r="8" spans="1:14" x14ac:dyDescent="0.3">
      <c r="C8" s="4" t="s">
        <v>35</v>
      </c>
      <c r="D8">
        <v>14</v>
      </c>
      <c r="G8" s="4" t="s">
        <v>35</v>
      </c>
      <c r="H8" s="1">
        <v>34.928571428571431</v>
      </c>
      <c r="M8" s="4" t="s">
        <v>34</v>
      </c>
      <c r="N8" s="1">
        <v>4.4000000000000004</v>
      </c>
    </row>
    <row r="9" spans="1:14" x14ac:dyDescent="0.3">
      <c r="C9" s="4" t="s">
        <v>36</v>
      </c>
      <c r="D9">
        <v>12</v>
      </c>
      <c r="G9" s="4" t="s">
        <v>36</v>
      </c>
      <c r="H9" s="1">
        <v>44.25</v>
      </c>
      <c r="M9" s="4" t="s">
        <v>35</v>
      </c>
      <c r="N9" s="1">
        <v>4</v>
      </c>
    </row>
    <row r="10" spans="1:14" x14ac:dyDescent="0.3">
      <c r="A10" t="s">
        <v>2</v>
      </c>
      <c r="C10" s="4" t="s">
        <v>37</v>
      </c>
      <c r="D10">
        <v>16</v>
      </c>
      <c r="G10" s="4" t="s">
        <v>37</v>
      </c>
      <c r="H10" s="1">
        <v>40.1875</v>
      </c>
      <c r="M10" s="4" t="s">
        <v>36</v>
      </c>
      <c r="N10" s="1">
        <v>0</v>
      </c>
    </row>
    <row r="11" spans="1:14" x14ac:dyDescent="0.3">
      <c r="A11" s="1">
        <v>34.764826175869118</v>
      </c>
      <c r="C11" s="4" t="s">
        <v>38</v>
      </c>
      <c r="D11">
        <v>11</v>
      </c>
      <c r="G11" s="4" t="s">
        <v>38</v>
      </c>
      <c r="H11" s="1">
        <v>35</v>
      </c>
      <c r="M11" s="4" t="s">
        <v>37</v>
      </c>
      <c r="N11" s="1">
        <v>2.875</v>
      </c>
    </row>
    <row r="12" spans="1:14" x14ac:dyDescent="0.3">
      <c r="C12" s="4" t="s">
        <v>39</v>
      </c>
      <c r="D12">
        <v>7</v>
      </c>
      <c r="G12" s="4" t="s">
        <v>39</v>
      </c>
      <c r="H12" s="1">
        <v>43.142857142857146</v>
      </c>
      <c r="M12" s="4" t="s">
        <v>38</v>
      </c>
      <c r="N12" s="1">
        <v>5.25</v>
      </c>
    </row>
    <row r="13" spans="1:14" x14ac:dyDescent="0.3">
      <c r="C13" s="4" t="s">
        <v>40</v>
      </c>
      <c r="D13">
        <v>16</v>
      </c>
      <c r="G13" s="4" t="s">
        <v>40</v>
      </c>
      <c r="H13" s="1">
        <v>43.6875</v>
      </c>
      <c r="M13" s="4" t="s">
        <v>40</v>
      </c>
      <c r="N13" s="1">
        <v>6</v>
      </c>
    </row>
    <row r="14" spans="1:14" x14ac:dyDescent="0.3">
      <c r="C14" s="4" t="s">
        <v>41</v>
      </c>
      <c r="D14">
        <v>7</v>
      </c>
      <c r="G14" s="4" t="s">
        <v>41</v>
      </c>
      <c r="H14" s="1">
        <v>33.857142857142854</v>
      </c>
      <c r="M14" s="4" t="s">
        <v>41</v>
      </c>
      <c r="N14" s="1">
        <v>6.5</v>
      </c>
    </row>
    <row r="15" spans="1:14" x14ac:dyDescent="0.3">
      <c r="A15" t="s">
        <v>3</v>
      </c>
      <c r="C15" s="4" t="s">
        <v>42</v>
      </c>
      <c r="D15">
        <v>16</v>
      </c>
      <c r="G15" s="4" t="s">
        <v>42</v>
      </c>
      <c r="H15" s="1">
        <v>40.1875</v>
      </c>
      <c r="M15" s="4" t="s">
        <v>42</v>
      </c>
      <c r="N15" s="1">
        <v>5.5</v>
      </c>
    </row>
    <row r="16" spans="1:14" x14ac:dyDescent="0.3">
      <c r="A16" s="1">
        <v>4.6821705426356592</v>
      </c>
      <c r="C16" s="4" t="s">
        <v>43</v>
      </c>
      <c r="D16">
        <v>16</v>
      </c>
      <c r="G16" s="4" t="s">
        <v>43</v>
      </c>
      <c r="H16" s="1">
        <v>34.9375</v>
      </c>
      <c r="M16" s="4" t="s">
        <v>43</v>
      </c>
      <c r="N16" s="1">
        <v>5.666666666666667</v>
      </c>
    </row>
    <row r="17" spans="3:14" x14ac:dyDescent="0.3">
      <c r="C17" s="4" t="s">
        <v>44</v>
      </c>
      <c r="D17">
        <v>19</v>
      </c>
      <c r="G17" s="4" t="s">
        <v>44</v>
      </c>
      <c r="H17" s="1">
        <v>28.684210526315791</v>
      </c>
      <c r="M17" s="4" t="s">
        <v>44</v>
      </c>
      <c r="N17" s="1">
        <v>5.25</v>
      </c>
    </row>
    <row r="18" spans="3:14" x14ac:dyDescent="0.3">
      <c r="C18" s="4" t="s">
        <v>45</v>
      </c>
      <c r="D18">
        <v>10</v>
      </c>
      <c r="G18" s="4" t="s">
        <v>45</v>
      </c>
      <c r="H18" s="1">
        <v>25</v>
      </c>
      <c r="M18" s="4" t="s">
        <v>45</v>
      </c>
      <c r="N18" s="1">
        <v>7.25</v>
      </c>
    </row>
    <row r="19" spans="3:14" x14ac:dyDescent="0.3">
      <c r="C19" s="4" t="s">
        <v>46</v>
      </c>
      <c r="D19">
        <v>13</v>
      </c>
      <c r="G19" s="4" t="s">
        <v>46</v>
      </c>
      <c r="H19" s="1">
        <v>35.46153846153846</v>
      </c>
      <c r="M19" s="4" t="s">
        <v>46</v>
      </c>
      <c r="N19" s="1">
        <v>6</v>
      </c>
    </row>
    <row r="20" spans="3:14" x14ac:dyDescent="0.3">
      <c r="C20" s="4" t="s">
        <v>47</v>
      </c>
      <c r="D20">
        <v>27</v>
      </c>
      <c r="G20" s="4" t="s">
        <v>47</v>
      </c>
      <c r="H20" s="1">
        <v>33.814814814814817</v>
      </c>
      <c r="M20" s="4" t="s">
        <v>47</v>
      </c>
      <c r="N20" s="1">
        <v>4.5999999999999996</v>
      </c>
    </row>
    <row r="21" spans="3:14" x14ac:dyDescent="0.3">
      <c r="C21" s="4" t="s">
        <v>48</v>
      </c>
      <c r="D21">
        <v>19</v>
      </c>
      <c r="G21" s="4" t="s">
        <v>48</v>
      </c>
      <c r="H21" s="1">
        <v>33.631578947368418</v>
      </c>
      <c r="M21" s="4" t="s">
        <v>48</v>
      </c>
      <c r="N21" s="1">
        <v>8</v>
      </c>
    </row>
    <row r="22" spans="3:14" x14ac:dyDescent="0.3">
      <c r="C22" s="4" t="s">
        <v>49</v>
      </c>
      <c r="D22">
        <v>18</v>
      </c>
      <c r="G22" s="4" t="s">
        <v>49</v>
      </c>
      <c r="H22" s="1">
        <v>36.611111111111114</v>
      </c>
      <c r="M22" s="4" t="s">
        <v>49</v>
      </c>
      <c r="N22" s="1">
        <v>3.6666666666666665</v>
      </c>
    </row>
    <row r="23" spans="3:14" x14ac:dyDescent="0.3">
      <c r="C23" s="4" t="s">
        <v>50</v>
      </c>
      <c r="D23">
        <v>12</v>
      </c>
      <c r="G23" s="4" t="s">
        <v>50</v>
      </c>
      <c r="H23" s="1">
        <v>30.5</v>
      </c>
      <c r="M23" s="4" t="s">
        <v>50</v>
      </c>
      <c r="N23" s="1">
        <v>2.4285714285714284</v>
      </c>
    </row>
    <row r="24" spans="3:14" x14ac:dyDescent="0.3">
      <c r="C24" s="4" t="s">
        <v>51</v>
      </c>
      <c r="D24">
        <v>20</v>
      </c>
      <c r="G24" s="4" t="s">
        <v>51</v>
      </c>
      <c r="H24" s="1">
        <v>33.6</v>
      </c>
      <c r="M24" s="4" t="s">
        <v>51</v>
      </c>
      <c r="N24" s="1">
        <v>9</v>
      </c>
    </row>
    <row r="25" spans="3:14" x14ac:dyDescent="0.3">
      <c r="C25" s="4" t="s">
        <v>52</v>
      </c>
      <c r="D25">
        <v>12</v>
      </c>
      <c r="G25" s="4" t="s">
        <v>52</v>
      </c>
      <c r="H25" s="1">
        <v>26.75</v>
      </c>
      <c r="M25" s="4" t="s">
        <v>52</v>
      </c>
      <c r="N25" s="1">
        <v>6</v>
      </c>
    </row>
    <row r="26" spans="3:14" x14ac:dyDescent="0.3">
      <c r="C26" s="4" t="s">
        <v>53</v>
      </c>
      <c r="D26">
        <v>19</v>
      </c>
      <c r="G26" s="4" t="s">
        <v>53</v>
      </c>
      <c r="H26" s="1">
        <v>37.684210526315788</v>
      </c>
      <c r="M26" s="4" t="s">
        <v>53</v>
      </c>
      <c r="N26" s="1">
        <v>4</v>
      </c>
    </row>
    <row r="27" spans="3:14" x14ac:dyDescent="0.3">
      <c r="C27" s="4" t="s">
        <v>54</v>
      </c>
      <c r="D27">
        <v>18</v>
      </c>
      <c r="G27" s="4" t="s">
        <v>54</v>
      </c>
      <c r="H27" s="1">
        <v>36.611111111111114</v>
      </c>
      <c r="M27" s="4" t="s">
        <v>54</v>
      </c>
      <c r="N27" s="1">
        <v>4.833333333333333</v>
      </c>
    </row>
    <row r="28" spans="3:14" x14ac:dyDescent="0.3">
      <c r="C28" s="4" t="s">
        <v>55</v>
      </c>
      <c r="D28">
        <v>21</v>
      </c>
      <c r="G28" s="4" t="s">
        <v>55</v>
      </c>
      <c r="H28" s="1">
        <v>35.428571428571431</v>
      </c>
      <c r="M28" s="4" t="s">
        <v>55</v>
      </c>
      <c r="N28" s="1">
        <v>3.6</v>
      </c>
    </row>
    <row r="29" spans="3:14" x14ac:dyDescent="0.3">
      <c r="C29" s="4" t="s">
        <v>56</v>
      </c>
      <c r="D29">
        <v>18</v>
      </c>
      <c r="G29" s="4" t="s">
        <v>56</v>
      </c>
      <c r="H29" s="1">
        <v>31.944444444444443</v>
      </c>
      <c r="M29" s="4" t="s">
        <v>56</v>
      </c>
      <c r="N29" s="1">
        <v>5</v>
      </c>
    </row>
    <row r="30" spans="3:14" x14ac:dyDescent="0.3">
      <c r="C30" s="4" t="s">
        <v>57</v>
      </c>
      <c r="D30">
        <v>16</v>
      </c>
      <c r="G30" s="4" t="s">
        <v>57</v>
      </c>
      <c r="H30" s="1">
        <v>31.875</v>
      </c>
      <c r="M30" s="4" t="s">
        <v>57</v>
      </c>
      <c r="N30" s="1">
        <v>5.25</v>
      </c>
    </row>
    <row r="31" spans="3:14" x14ac:dyDescent="0.3">
      <c r="C31" s="4" t="s">
        <v>58</v>
      </c>
      <c r="D31">
        <v>14</v>
      </c>
      <c r="G31" s="4" t="s">
        <v>58</v>
      </c>
      <c r="H31" s="1">
        <v>28.642857142857142</v>
      </c>
      <c r="M31" s="4" t="s">
        <v>58</v>
      </c>
      <c r="N31" s="1">
        <v>3.2</v>
      </c>
    </row>
    <row r="32" spans="3:14" x14ac:dyDescent="0.3">
      <c r="C32" s="4" t="s">
        <v>59</v>
      </c>
      <c r="D32">
        <v>14</v>
      </c>
      <c r="G32" s="4" t="s">
        <v>59</v>
      </c>
      <c r="H32" s="1">
        <v>39.214285714285715</v>
      </c>
      <c r="M32" s="4" t="s">
        <v>59</v>
      </c>
      <c r="N32" s="1">
        <v>5.5</v>
      </c>
    </row>
    <row r="33" spans="1:14" x14ac:dyDescent="0.3">
      <c r="C33" s="4" t="s">
        <v>60</v>
      </c>
      <c r="D33">
        <v>16</v>
      </c>
      <c r="G33" s="4" t="s">
        <v>60</v>
      </c>
      <c r="H33" s="1">
        <v>32.0625</v>
      </c>
      <c r="M33" s="4" t="s">
        <v>60</v>
      </c>
      <c r="N33" s="1">
        <v>3</v>
      </c>
    </row>
    <row r="34" spans="1:14" x14ac:dyDescent="0.3">
      <c r="C34" s="4" t="s">
        <v>61</v>
      </c>
      <c r="D34">
        <v>21</v>
      </c>
      <c r="G34" s="4" t="s">
        <v>61</v>
      </c>
      <c r="H34" s="1">
        <v>28.285714285714285</v>
      </c>
      <c r="M34" s="4" t="s">
        <v>61</v>
      </c>
      <c r="N34" s="1">
        <v>3.9090909090909092</v>
      </c>
    </row>
    <row r="35" spans="1:14" x14ac:dyDescent="0.3">
      <c r="C35" s="4" t="s">
        <v>62</v>
      </c>
      <c r="D35">
        <v>21</v>
      </c>
      <c r="G35" s="4" t="s">
        <v>62</v>
      </c>
      <c r="H35" s="1">
        <v>35.476190476190474</v>
      </c>
      <c r="M35" s="4" t="s">
        <v>62</v>
      </c>
      <c r="N35" s="1">
        <v>2.6666666666666665</v>
      </c>
    </row>
    <row r="36" spans="1:14" x14ac:dyDescent="0.3">
      <c r="C36" s="4" t="s">
        <v>63</v>
      </c>
      <c r="D36">
        <v>15</v>
      </c>
      <c r="G36" s="4" t="s">
        <v>63</v>
      </c>
      <c r="H36" s="1">
        <v>39.799999999999997</v>
      </c>
      <c r="M36" s="4" t="s">
        <v>5</v>
      </c>
      <c r="N36" s="1">
        <v>4.6821705426356592</v>
      </c>
    </row>
    <row r="37" spans="1:14" x14ac:dyDescent="0.3">
      <c r="C37" s="4" t="s">
        <v>5</v>
      </c>
      <c r="D37">
        <v>489</v>
      </c>
      <c r="G37" s="4" t="s">
        <v>5</v>
      </c>
      <c r="H37" s="1">
        <v>34.764826175869118</v>
      </c>
    </row>
    <row r="39" spans="1:14" x14ac:dyDescent="0.3">
      <c r="L39" t="s">
        <v>64</v>
      </c>
    </row>
    <row r="40" spans="1:14" x14ac:dyDescent="0.3">
      <c r="A40" s="3" t="s">
        <v>4</v>
      </c>
      <c r="B40" t="s">
        <v>15</v>
      </c>
      <c r="C40" t="s">
        <v>14</v>
      </c>
      <c r="L40" s="3" t="s">
        <v>4</v>
      </c>
      <c r="M40" t="s">
        <v>30</v>
      </c>
    </row>
    <row r="41" spans="1:14" x14ac:dyDescent="0.3">
      <c r="A41" s="4" t="s">
        <v>16</v>
      </c>
      <c r="B41" s="5">
        <v>250</v>
      </c>
      <c r="C41" s="7">
        <v>0.5112474437627812</v>
      </c>
      <c r="H41" t="s">
        <v>29</v>
      </c>
      <c r="L41" s="4" t="s">
        <v>31</v>
      </c>
      <c r="M41" s="5">
        <v>286</v>
      </c>
    </row>
    <row r="42" spans="1:14" x14ac:dyDescent="0.3">
      <c r="A42" s="4" t="s">
        <v>17</v>
      </c>
      <c r="B42" s="5">
        <v>239</v>
      </c>
      <c r="C42" s="7">
        <v>0.4887525562372188</v>
      </c>
      <c r="H42" s="3" t="s">
        <v>4</v>
      </c>
      <c r="I42" t="s">
        <v>28</v>
      </c>
      <c r="L42" s="4" t="s">
        <v>32</v>
      </c>
      <c r="M42" s="5">
        <v>203</v>
      </c>
    </row>
    <row r="43" spans="1:14" x14ac:dyDescent="0.3">
      <c r="A43" s="4" t="s">
        <v>5</v>
      </c>
      <c r="B43" s="5">
        <v>489</v>
      </c>
      <c r="C43" s="6">
        <v>1</v>
      </c>
      <c r="H43" s="4" t="s">
        <v>20</v>
      </c>
      <c r="I43" s="5">
        <v>49</v>
      </c>
      <c r="L43" s="4" t="s">
        <v>5</v>
      </c>
      <c r="M43" s="5">
        <v>489</v>
      </c>
    </row>
    <row r="44" spans="1:14" x14ac:dyDescent="0.3">
      <c r="H44" s="4" t="s">
        <v>21</v>
      </c>
      <c r="I44" s="5">
        <v>56</v>
      </c>
    </row>
    <row r="45" spans="1:14" x14ac:dyDescent="0.3">
      <c r="A45" s="8" t="s">
        <v>18</v>
      </c>
      <c r="B45" s="8" t="s">
        <v>1</v>
      </c>
      <c r="C45" s="8" t="s">
        <v>19</v>
      </c>
      <c r="D45" s="8"/>
      <c r="H45" s="4" t="s">
        <v>22</v>
      </c>
      <c r="I45" s="5">
        <v>71</v>
      </c>
    </row>
    <row r="46" spans="1:14" x14ac:dyDescent="0.3">
      <c r="A46" s="9" t="str">
        <f>A42</f>
        <v>Non Admitted</v>
      </c>
      <c r="B46" s="9">
        <f>B42</f>
        <v>239</v>
      </c>
      <c r="C46" s="10">
        <f>C42</f>
        <v>0.4887525562372188</v>
      </c>
      <c r="D46" s="9"/>
      <c r="H46" s="4" t="s">
        <v>23</v>
      </c>
      <c r="I46" s="5">
        <v>72</v>
      </c>
    </row>
    <row r="47" spans="1:14" x14ac:dyDescent="0.3">
      <c r="A47" s="9" t="str">
        <f>A41</f>
        <v>Admitted</v>
      </c>
      <c r="B47" s="9">
        <f>B41</f>
        <v>250</v>
      </c>
      <c r="C47" s="10">
        <f>C41</f>
        <v>0.5112474437627812</v>
      </c>
      <c r="D47" s="9"/>
      <c r="H47" s="4" t="s">
        <v>24</v>
      </c>
      <c r="I47" s="5">
        <v>64</v>
      </c>
    </row>
    <row r="48" spans="1:14" x14ac:dyDescent="0.3">
      <c r="H48" s="4" t="s">
        <v>25</v>
      </c>
      <c r="I48" s="5">
        <v>60</v>
      </c>
      <c r="L48" s="3" t="s">
        <v>4</v>
      </c>
      <c r="M48" t="s">
        <v>67</v>
      </c>
    </row>
    <row r="49" spans="1:13" x14ac:dyDescent="0.3">
      <c r="H49" s="4" t="s">
        <v>26</v>
      </c>
      <c r="I49" s="5">
        <v>64</v>
      </c>
      <c r="L49" s="4" t="s">
        <v>65</v>
      </c>
      <c r="M49" s="5">
        <v>240</v>
      </c>
    </row>
    <row r="50" spans="1:13" x14ac:dyDescent="0.3">
      <c r="H50" s="4" t="s">
        <v>27</v>
      </c>
      <c r="I50" s="5">
        <v>53</v>
      </c>
      <c r="L50" s="4" t="s">
        <v>66</v>
      </c>
      <c r="M50" s="5">
        <v>249</v>
      </c>
    </row>
    <row r="51" spans="1:13" x14ac:dyDescent="0.3">
      <c r="H51" s="4" t="s">
        <v>5</v>
      </c>
      <c r="I51" s="5">
        <v>489</v>
      </c>
      <c r="L51" s="4" t="s">
        <v>5</v>
      </c>
      <c r="M51" s="5">
        <v>489</v>
      </c>
    </row>
    <row r="54" spans="1:13" x14ac:dyDescent="0.3">
      <c r="A54" s="3" t="s">
        <v>4</v>
      </c>
    </row>
    <row r="55" spans="1:13" x14ac:dyDescent="0.3">
      <c r="A55" s="4" t="s">
        <v>77</v>
      </c>
    </row>
    <row r="56" spans="1:13" x14ac:dyDescent="0.3">
      <c r="A56" s="11" t="s">
        <v>78</v>
      </c>
      <c r="L56" s="3" t="s">
        <v>4</v>
      </c>
      <c r="M56" t="s">
        <v>76</v>
      </c>
    </row>
    <row r="57" spans="1:13" x14ac:dyDescent="0.3">
      <c r="A57" s="12" t="s">
        <v>79</v>
      </c>
      <c r="L57" s="4" t="s">
        <v>75</v>
      </c>
      <c r="M57" s="5">
        <v>8</v>
      </c>
    </row>
    <row r="58" spans="1:13" x14ac:dyDescent="0.3">
      <c r="A58" s="13">
        <v>45261</v>
      </c>
      <c r="L58" s="4" t="s">
        <v>69</v>
      </c>
      <c r="M58" s="5">
        <v>8</v>
      </c>
    </row>
    <row r="59" spans="1:13" x14ac:dyDescent="0.3">
      <c r="A59" s="13">
        <v>45262</v>
      </c>
      <c r="L59" s="4" t="s">
        <v>71</v>
      </c>
      <c r="M59" s="5">
        <v>11</v>
      </c>
    </row>
    <row r="60" spans="1:13" x14ac:dyDescent="0.3">
      <c r="A60" s="13">
        <v>45263</v>
      </c>
      <c r="L60" s="4" t="s">
        <v>74</v>
      </c>
      <c r="M60" s="5">
        <v>12</v>
      </c>
    </row>
    <row r="61" spans="1:13" x14ac:dyDescent="0.3">
      <c r="A61" s="13">
        <v>45264</v>
      </c>
      <c r="L61" s="4" t="s">
        <v>68</v>
      </c>
      <c r="M61" s="5">
        <v>18</v>
      </c>
    </row>
    <row r="62" spans="1:13" x14ac:dyDescent="0.3">
      <c r="A62" s="13">
        <v>45265</v>
      </c>
      <c r="L62" s="4" t="s">
        <v>73</v>
      </c>
      <c r="M62" s="5">
        <v>44</v>
      </c>
    </row>
    <row r="63" spans="1:13" x14ac:dyDescent="0.3">
      <c r="A63" s="13">
        <v>45266</v>
      </c>
      <c r="L63" s="4" t="s">
        <v>70</v>
      </c>
      <c r="M63" s="5">
        <v>110</v>
      </c>
    </row>
    <row r="64" spans="1:13" x14ac:dyDescent="0.3">
      <c r="A64" s="13">
        <v>45267</v>
      </c>
      <c r="L64" s="4" t="s">
        <v>72</v>
      </c>
      <c r="M64" s="5">
        <v>278</v>
      </c>
    </row>
    <row r="65" spans="1:13" x14ac:dyDescent="0.3">
      <c r="A65" s="13">
        <v>45268</v>
      </c>
      <c r="L65" s="4" t="s">
        <v>5</v>
      </c>
      <c r="M65" s="5">
        <v>489</v>
      </c>
    </row>
    <row r="66" spans="1:13" x14ac:dyDescent="0.3">
      <c r="A66" s="13">
        <v>45269</v>
      </c>
    </row>
    <row r="67" spans="1:13" x14ac:dyDescent="0.3">
      <c r="A67" s="13">
        <v>45270</v>
      </c>
    </row>
    <row r="68" spans="1:13" x14ac:dyDescent="0.3">
      <c r="A68" s="13">
        <v>45271</v>
      </c>
    </row>
    <row r="69" spans="1:13" x14ac:dyDescent="0.3">
      <c r="A69" s="13">
        <v>45272</v>
      </c>
    </row>
    <row r="70" spans="1:13" x14ac:dyDescent="0.3">
      <c r="A70" s="13">
        <v>45273</v>
      </c>
    </row>
    <row r="71" spans="1:13" x14ac:dyDescent="0.3">
      <c r="A71" s="13">
        <v>45274</v>
      </c>
    </row>
    <row r="72" spans="1:13" x14ac:dyDescent="0.3">
      <c r="A72" s="13">
        <v>45275</v>
      </c>
    </row>
    <row r="73" spans="1:13" x14ac:dyDescent="0.3">
      <c r="A73" s="13">
        <v>45276</v>
      </c>
    </row>
    <row r="74" spans="1:13" x14ac:dyDescent="0.3">
      <c r="A74" s="13">
        <v>45277</v>
      </c>
    </row>
    <row r="75" spans="1:13" x14ac:dyDescent="0.3">
      <c r="A75" s="13">
        <v>45278</v>
      </c>
    </row>
    <row r="76" spans="1:13" x14ac:dyDescent="0.3">
      <c r="A76" s="13">
        <v>45279</v>
      </c>
    </row>
    <row r="77" spans="1:13" x14ac:dyDescent="0.3">
      <c r="A77" s="13">
        <v>45280</v>
      </c>
    </row>
    <row r="78" spans="1:13" x14ac:dyDescent="0.3">
      <c r="A78" s="13">
        <v>45281</v>
      </c>
    </row>
    <row r="79" spans="1:13" x14ac:dyDescent="0.3">
      <c r="A79" s="13">
        <v>45282</v>
      </c>
    </row>
    <row r="80" spans="1:13" x14ac:dyDescent="0.3">
      <c r="A80" s="13">
        <v>45283</v>
      </c>
    </row>
    <row r="81" spans="1:1" x14ac:dyDescent="0.3">
      <c r="A81" s="13">
        <v>45284</v>
      </c>
    </row>
    <row r="82" spans="1:1" x14ac:dyDescent="0.3">
      <c r="A82" s="13">
        <v>45285</v>
      </c>
    </row>
    <row r="83" spans="1:1" x14ac:dyDescent="0.3">
      <c r="A83" s="13">
        <v>45286</v>
      </c>
    </row>
    <row r="84" spans="1:1" x14ac:dyDescent="0.3">
      <c r="A84" s="13">
        <v>45287</v>
      </c>
    </row>
    <row r="85" spans="1:1" x14ac:dyDescent="0.3">
      <c r="A85" s="13">
        <v>45288</v>
      </c>
    </row>
    <row r="86" spans="1:1" x14ac:dyDescent="0.3">
      <c r="A86" s="13">
        <v>45289</v>
      </c>
    </row>
    <row r="87" spans="1:1" x14ac:dyDescent="0.3">
      <c r="A87" s="13">
        <v>45290</v>
      </c>
    </row>
    <row r="88" spans="1:1" x14ac:dyDescent="0.3">
      <c r="A88" s="13">
        <v>45291</v>
      </c>
    </row>
    <row r="89" spans="1:1" x14ac:dyDescent="0.3">
      <c r="A89"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8891-588C-48FC-98CD-6D0E0F29C37B}">
  <dimension ref="A1:Q25"/>
  <sheetViews>
    <sheetView tabSelected="1" zoomScale="115" zoomScaleNormal="115" workbookViewId="0">
      <selection activeCell="R5" sqref="R5"/>
    </sheetView>
  </sheetViews>
  <sheetFormatPr defaultRowHeight="14.4" x14ac:dyDescent="0.3"/>
  <sheetData>
    <row r="1" spans="1:17" x14ac:dyDescent="0.3">
      <c r="A1" s="2"/>
      <c r="B1" s="2"/>
      <c r="C1" s="2"/>
      <c r="D1" s="2"/>
      <c r="E1" s="2"/>
      <c r="F1" s="2"/>
      <c r="G1" s="2"/>
      <c r="H1" s="2"/>
      <c r="I1" s="2"/>
      <c r="J1" s="2"/>
      <c r="K1" s="2"/>
      <c r="L1" s="2"/>
      <c r="M1" s="2"/>
      <c r="N1" s="2"/>
      <c r="O1" s="2"/>
      <c r="P1" s="2"/>
      <c r="Q1" s="2"/>
    </row>
    <row r="2" spans="1:17" x14ac:dyDescent="0.3">
      <c r="A2" s="2"/>
      <c r="B2" s="2"/>
      <c r="C2" s="2"/>
      <c r="D2" s="2"/>
      <c r="E2" s="2"/>
      <c r="F2" s="2"/>
      <c r="G2" s="2"/>
      <c r="H2" s="2"/>
      <c r="I2" s="2"/>
      <c r="J2" s="2"/>
      <c r="K2" s="2"/>
      <c r="L2" s="2"/>
      <c r="M2" s="2"/>
      <c r="N2" s="2"/>
      <c r="O2" s="2"/>
      <c r="P2" s="2"/>
      <c r="Q2" s="2"/>
    </row>
    <row r="3" spans="1:17" x14ac:dyDescent="0.3">
      <c r="A3" s="2"/>
      <c r="B3" s="2"/>
      <c r="C3" s="2"/>
      <c r="D3" s="2"/>
      <c r="E3" s="2"/>
      <c r="F3" s="2"/>
      <c r="G3" s="2"/>
      <c r="H3" s="2"/>
      <c r="I3" s="2"/>
      <c r="J3" s="2"/>
      <c r="K3" s="2"/>
      <c r="L3" s="2"/>
      <c r="M3" s="2"/>
      <c r="N3" s="2"/>
      <c r="O3" s="2"/>
      <c r="P3" s="2"/>
      <c r="Q3" s="2"/>
    </row>
    <row r="4" spans="1:17" x14ac:dyDescent="0.3">
      <c r="A4" s="2"/>
      <c r="B4" s="2"/>
      <c r="C4" s="2"/>
      <c r="D4" s="2"/>
      <c r="E4" s="2"/>
      <c r="F4" s="2"/>
      <c r="G4" s="2"/>
      <c r="H4" s="2"/>
      <c r="I4" s="2"/>
      <c r="J4" s="2"/>
      <c r="K4" s="2"/>
      <c r="L4" s="2"/>
      <c r="M4" s="2"/>
      <c r="N4" s="2"/>
      <c r="O4" s="2"/>
      <c r="P4" s="2"/>
      <c r="Q4" s="2"/>
    </row>
    <row r="5" spans="1:17" x14ac:dyDescent="0.3">
      <c r="A5" s="2"/>
      <c r="B5" s="2"/>
      <c r="C5" s="2"/>
      <c r="D5" s="2"/>
      <c r="E5" s="2"/>
      <c r="F5" s="2"/>
      <c r="G5" s="2"/>
      <c r="H5" s="2"/>
      <c r="I5" s="2"/>
      <c r="J5" s="2"/>
      <c r="K5" s="2"/>
      <c r="L5" s="2"/>
      <c r="M5" s="2"/>
      <c r="N5" s="2"/>
      <c r="O5" s="2"/>
      <c r="P5" s="2"/>
      <c r="Q5" s="2"/>
    </row>
    <row r="6" spans="1:17" x14ac:dyDescent="0.3">
      <c r="A6" s="2"/>
      <c r="B6" s="2"/>
      <c r="C6" s="2"/>
      <c r="D6" s="2"/>
      <c r="E6" s="2"/>
      <c r="F6" s="2"/>
      <c r="G6" s="2"/>
      <c r="H6" s="2"/>
      <c r="I6" s="2"/>
      <c r="J6" s="2"/>
      <c r="K6" s="2"/>
      <c r="L6" s="2"/>
      <c r="M6" s="2"/>
      <c r="N6" s="2"/>
      <c r="O6" s="2"/>
      <c r="P6" s="2"/>
      <c r="Q6" s="2"/>
    </row>
    <row r="7" spans="1:17" x14ac:dyDescent="0.3">
      <c r="A7" s="2"/>
      <c r="B7" s="2"/>
      <c r="C7" s="2"/>
      <c r="D7" s="2"/>
      <c r="E7" s="2"/>
      <c r="F7" s="2"/>
      <c r="G7" s="2"/>
      <c r="H7" s="2"/>
      <c r="I7" s="2"/>
      <c r="J7" s="2"/>
      <c r="K7" s="2"/>
      <c r="L7" s="2"/>
      <c r="M7" s="2"/>
      <c r="N7" s="2"/>
      <c r="O7" s="2"/>
      <c r="P7" s="2"/>
      <c r="Q7" s="2"/>
    </row>
    <row r="8" spans="1:17" x14ac:dyDescent="0.3">
      <c r="A8" s="2"/>
      <c r="B8" s="2"/>
      <c r="C8" s="2"/>
      <c r="D8" s="2"/>
      <c r="E8" s="2"/>
      <c r="F8" s="2"/>
      <c r="G8" s="2"/>
      <c r="H8" s="2"/>
      <c r="I8" s="2"/>
      <c r="J8" s="2"/>
      <c r="K8" s="2"/>
      <c r="L8" s="2"/>
      <c r="M8" s="2"/>
      <c r="N8" s="2"/>
      <c r="O8" s="2"/>
      <c r="P8" s="2"/>
      <c r="Q8" s="2"/>
    </row>
    <row r="9" spans="1:17" x14ac:dyDescent="0.3">
      <c r="A9" s="2"/>
      <c r="B9" s="2"/>
      <c r="C9" s="2"/>
      <c r="D9" s="2"/>
      <c r="E9" s="2"/>
      <c r="F9" s="2"/>
      <c r="G9" s="2"/>
      <c r="H9" s="2"/>
      <c r="I9" s="2"/>
      <c r="J9" s="2"/>
      <c r="K9" s="2"/>
      <c r="L9" s="2"/>
      <c r="M9" s="2"/>
      <c r="N9" s="2"/>
      <c r="O9" s="2"/>
      <c r="P9" s="2"/>
      <c r="Q9" s="2"/>
    </row>
    <row r="10" spans="1:17" x14ac:dyDescent="0.3">
      <c r="A10" s="2"/>
      <c r="B10" s="2"/>
      <c r="C10" s="2"/>
      <c r="D10" s="2"/>
      <c r="E10" s="2"/>
      <c r="F10" s="2"/>
      <c r="G10" s="2"/>
      <c r="H10" s="2"/>
      <c r="I10" s="2"/>
      <c r="J10" s="2"/>
      <c r="K10" s="2"/>
      <c r="L10" s="2"/>
      <c r="M10" s="2"/>
      <c r="N10" s="2"/>
      <c r="O10" s="2"/>
      <c r="P10" s="2"/>
      <c r="Q10" s="2"/>
    </row>
    <row r="11" spans="1:17" x14ac:dyDescent="0.3">
      <c r="A11" s="2"/>
      <c r="B11" s="2"/>
      <c r="C11" s="2"/>
      <c r="D11" s="2"/>
      <c r="E11" s="2"/>
      <c r="F11" s="2"/>
      <c r="G11" s="2"/>
      <c r="H11" s="2"/>
      <c r="I11" s="2"/>
      <c r="J11" s="2"/>
      <c r="K11" s="2"/>
      <c r="L11" s="2"/>
      <c r="M11" s="2"/>
      <c r="N11" s="2"/>
      <c r="O11" s="2"/>
      <c r="P11" s="2"/>
      <c r="Q11" s="2"/>
    </row>
    <row r="12" spans="1:17" x14ac:dyDescent="0.3">
      <c r="A12" s="2"/>
      <c r="B12" s="2"/>
      <c r="C12" s="2"/>
      <c r="D12" s="2"/>
      <c r="E12" s="2"/>
      <c r="F12" s="2"/>
      <c r="G12" s="2"/>
      <c r="H12" s="2"/>
      <c r="I12" s="2"/>
      <c r="J12" s="2"/>
      <c r="K12" s="2"/>
      <c r="L12" s="2"/>
      <c r="M12" s="2"/>
      <c r="N12" s="2"/>
      <c r="O12" s="2"/>
      <c r="P12" s="2"/>
      <c r="Q12" s="2"/>
    </row>
    <row r="13" spans="1:17" x14ac:dyDescent="0.3">
      <c r="A13" s="2"/>
      <c r="B13" s="2"/>
      <c r="C13" s="2"/>
      <c r="D13" s="2"/>
      <c r="E13" s="2"/>
      <c r="F13" s="2"/>
      <c r="G13" s="2"/>
      <c r="H13" s="2"/>
      <c r="I13" s="2"/>
      <c r="J13" s="2"/>
      <c r="K13" s="2"/>
      <c r="L13" s="2"/>
      <c r="M13" s="2"/>
      <c r="N13" s="2"/>
      <c r="O13" s="2"/>
      <c r="P13" s="2"/>
      <c r="Q13" s="2"/>
    </row>
    <row r="14" spans="1:17" x14ac:dyDescent="0.3">
      <c r="A14" s="2"/>
      <c r="B14" s="2"/>
      <c r="C14" s="2"/>
      <c r="D14" s="2"/>
      <c r="E14" s="2"/>
      <c r="F14" s="2"/>
      <c r="G14" s="2"/>
      <c r="H14" s="2"/>
      <c r="I14" s="2"/>
      <c r="J14" s="2"/>
      <c r="K14" s="2"/>
      <c r="L14" s="2"/>
      <c r="M14" s="2"/>
      <c r="N14" s="2"/>
      <c r="O14" s="2"/>
      <c r="P14" s="2"/>
      <c r="Q14" s="2"/>
    </row>
    <row r="15" spans="1:17" x14ac:dyDescent="0.3">
      <c r="A15" s="2"/>
      <c r="B15" s="2"/>
      <c r="C15" s="2"/>
      <c r="D15" s="2"/>
      <c r="E15" s="2"/>
      <c r="F15" s="2"/>
      <c r="G15" s="2"/>
      <c r="H15" s="2"/>
      <c r="I15" s="2"/>
      <c r="J15" s="2"/>
      <c r="K15" s="2"/>
      <c r="L15" s="2"/>
      <c r="M15" s="2"/>
      <c r="N15" s="2"/>
      <c r="O15" s="2"/>
      <c r="P15" s="2"/>
      <c r="Q15" s="2"/>
    </row>
    <row r="16" spans="1:17" x14ac:dyDescent="0.3">
      <c r="A16" s="2"/>
      <c r="B16" s="2"/>
      <c r="C16" s="2"/>
      <c r="D16" s="2"/>
      <c r="E16" s="2"/>
      <c r="F16" s="2"/>
      <c r="G16" s="2"/>
      <c r="H16" s="2"/>
      <c r="I16" s="2"/>
      <c r="J16" s="2"/>
      <c r="K16" s="2"/>
      <c r="L16" s="2"/>
      <c r="M16" s="2"/>
      <c r="N16" s="2"/>
      <c r="O16" s="2"/>
      <c r="P16" s="2"/>
      <c r="Q16" s="2"/>
    </row>
    <row r="17" spans="1:17" x14ac:dyDescent="0.3">
      <c r="A17" s="2"/>
      <c r="B17" s="2"/>
      <c r="C17" s="2"/>
      <c r="D17" s="2"/>
      <c r="E17" s="2"/>
      <c r="F17" s="2"/>
      <c r="G17" s="2"/>
      <c r="H17" s="2"/>
      <c r="I17" s="2"/>
      <c r="J17" s="2"/>
      <c r="K17" s="2"/>
      <c r="L17" s="2"/>
      <c r="M17" s="2"/>
      <c r="N17" s="2"/>
      <c r="O17" s="2"/>
      <c r="P17" s="2"/>
      <c r="Q17" s="2"/>
    </row>
    <row r="18" spans="1:17" x14ac:dyDescent="0.3">
      <c r="A18" s="2"/>
      <c r="B18" s="2"/>
      <c r="C18" s="2"/>
      <c r="D18" s="2"/>
      <c r="E18" s="2"/>
      <c r="F18" s="2"/>
      <c r="G18" s="2"/>
      <c r="H18" s="2"/>
      <c r="I18" s="2"/>
      <c r="J18" s="2"/>
      <c r="K18" s="2"/>
      <c r="L18" s="2"/>
      <c r="M18" s="2"/>
      <c r="N18" s="2"/>
      <c r="O18" s="2"/>
      <c r="P18" s="2"/>
      <c r="Q18" s="2"/>
    </row>
    <row r="19" spans="1:17" x14ac:dyDescent="0.3">
      <c r="A19" s="2"/>
      <c r="B19" s="2"/>
      <c r="C19" s="2"/>
      <c r="D19" s="2"/>
      <c r="E19" s="2"/>
      <c r="F19" s="2"/>
      <c r="G19" s="2"/>
      <c r="H19" s="2"/>
      <c r="I19" s="2"/>
      <c r="J19" s="2"/>
      <c r="K19" s="2"/>
      <c r="L19" s="2"/>
      <c r="M19" s="2"/>
      <c r="N19" s="2"/>
      <c r="O19" s="2"/>
      <c r="P19" s="2"/>
      <c r="Q19" s="2"/>
    </row>
    <row r="20" spans="1:17" x14ac:dyDescent="0.3">
      <c r="A20" s="2"/>
      <c r="B20" s="2"/>
      <c r="C20" s="2"/>
      <c r="D20" s="2"/>
      <c r="E20" s="2"/>
      <c r="F20" s="2"/>
      <c r="G20" s="2"/>
      <c r="H20" s="2"/>
      <c r="I20" s="2"/>
      <c r="J20" s="2"/>
      <c r="K20" s="2"/>
      <c r="L20" s="2"/>
      <c r="M20" s="2"/>
      <c r="N20" s="2"/>
      <c r="O20" s="2"/>
      <c r="P20" s="2"/>
      <c r="Q20" s="2"/>
    </row>
    <row r="21" spans="1:17" x14ac:dyDescent="0.3">
      <c r="A21" s="2"/>
      <c r="B21" s="2"/>
      <c r="C21" s="2"/>
      <c r="D21" s="2"/>
      <c r="E21" s="2"/>
      <c r="F21" s="2"/>
      <c r="G21" s="2"/>
      <c r="H21" s="2"/>
      <c r="I21" s="2"/>
      <c r="J21" s="2"/>
      <c r="K21" s="2"/>
      <c r="L21" s="2"/>
      <c r="M21" s="2"/>
      <c r="N21" s="2"/>
      <c r="O21" s="2"/>
      <c r="P21" s="2"/>
      <c r="Q21" s="2"/>
    </row>
    <row r="22" spans="1:17" x14ac:dyDescent="0.3">
      <c r="A22" s="2"/>
      <c r="B22" s="2"/>
      <c r="C22" s="2"/>
      <c r="D22" s="2"/>
      <c r="E22" s="2"/>
      <c r="F22" s="2"/>
      <c r="G22" s="2"/>
      <c r="H22" s="2"/>
      <c r="I22" s="2"/>
      <c r="J22" s="2"/>
      <c r="K22" s="2"/>
      <c r="L22" s="2"/>
      <c r="M22" s="2"/>
      <c r="N22" s="2"/>
      <c r="O22" s="2"/>
      <c r="P22" s="2"/>
      <c r="Q22" s="2"/>
    </row>
    <row r="23" spans="1:17" x14ac:dyDescent="0.3">
      <c r="A23" s="2"/>
      <c r="B23" s="2"/>
      <c r="C23" s="2"/>
      <c r="D23" s="2"/>
      <c r="E23" s="2"/>
      <c r="F23" s="2"/>
      <c r="G23" s="2"/>
      <c r="H23" s="2"/>
      <c r="I23" s="2"/>
      <c r="J23" s="2"/>
      <c r="K23" s="2"/>
      <c r="L23" s="2"/>
      <c r="M23" s="2"/>
      <c r="N23" s="2"/>
      <c r="O23" s="2"/>
      <c r="P23" s="2"/>
      <c r="Q23" s="2"/>
    </row>
    <row r="24" spans="1:17" x14ac:dyDescent="0.3">
      <c r="A24" s="2"/>
      <c r="B24" s="2"/>
      <c r="C24" s="2"/>
      <c r="D24" s="2"/>
      <c r="E24" s="2"/>
      <c r="F24" s="2"/>
      <c r="G24" s="2"/>
      <c r="H24" s="2"/>
      <c r="I24" s="2"/>
      <c r="J24" s="2"/>
      <c r="K24" s="2"/>
      <c r="L24" s="2"/>
      <c r="M24" s="2"/>
      <c r="N24" s="2"/>
      <c r="O24" s="2"/>
      <c r="P24" s="2"/>
      <c r="Q24" s="2"/>
    </row>
    <row r="25" spans="1:17" x14ac:dyDescent="0.3">
      <c r="A25" s="2"/>
      <c r="B25" s="2"/>
      <c r="C25" s="2"/>
      <c r="D25" s="2"/>
      <c r="E25" s="2"/>
      <c r="F25" s="2"/>
      <c r="G25" s="2"/>
      <c r="H25" s="2"/>
      <c r="I25" s="2"/>
      <c r="J25" s="2"/>
      <c r="K25" s="2"/>
      <c r="L25" s="2"/>
      <c r="M25" s="2"/>
      <c r="N25" s="2"/>
      <c r="O25" s="2"/>
      <c r="P25" s="2"/>
      <c r="Q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4946-AE49-432D-9980-B92295BB15AF}">
  <dimension ref="D20:E21"/>
  <sheetViews>
    <sheetView workbookViewId="0"/>
  </sheetViews>
  <sheetFormatPr defaultRowHeight="14.4" x14ac:dyDescent="0.3"/>
  <sheetData>
    <row r="20" spans="4:5" x14ac:dyDescent="0.3">
      <c r="D20" t="s">
        <v>9</v>
      </c>
    </row>
    <row r="21" spans="4:5" x14ac:dyDescent="0.3">
      <c r="D21" t="s">
        <v>10</v>
      </c>
      <c r="E21" t="s">
        <v>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E56C-1FF1-4156-89FF-3D444E91C7BF}">
  <dimension ref="D19:D21"/>
  <sheetViews>
    <sheetView workbookViewId="0">
      <selection activeCell="D19" sqref="D19"/>
    </sheetView>
  </sheetViews>
  <sheetFormatPr defaultRowHeight="14.4" x14ac:dyDescent="0.3"/>
  <sheetData>
    <row r="19" spans="4:4" x14ac:dyDescent="0.3">
      <c r="D19" t="s">
        <v>13</v>
      </c>
    </row>
    <row r="20" spans="4:4" x14ac:dyDescent="0.3">
      <c r="D20" t="s">
        <v>9</v>
      </c>
    </row>
    <row r="21" spans="4:4" x14ac:dyDescent="0.3">
      <c r="D21" t="s">
        <v>12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327F-0A51-420D-8CC5-E768945E4E90}">
  <dimension ref="A1"/>
  <sheetViews>
    <sheetView workbookViewId="0">
      <selection activeCell="B3" sqref="B3"/>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9B46-4C71-4F56-A4F8-979CFE1A0A48}">
  <dimension ref="C16:C17"/>
  <sheetViews>
    <sheetView workbookViewId="0"/>
  </sheetViews>
  <sheetFormatPr defaultRowHeight="14.4" x14ac:dyDescent="0.3"/>
  <sheetData>
    <row r="16" spans="3:3" x14ac:dyDescent="0.3">
      <c r="C16" t="s">
        <v>6</v>
      </c>
    </row>
    <row r="17" spans="3:3" x14ac:dyDescent="0.3">
      <c r="C17" t="s">
        <v>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6B2557C5-D685-42D5-AF7A-16B873449652}">
  <ds:schemaRefs/>
</ds:datastoreItem>
</file>

<file path=customXml/itemProps2.xml><?xml version="1.0" encoding="utf-8"?>
<ds:datastoreItem xmlns:ds="http://schemas.openxmlformats.org/officeDocument/2006/customXml" ds:itemID="{E8BA9956-675A-4062-908F-8B14E26DDCA6}">
  <ds:schemaRefs/>
</ds:datastoreItem>
</file>

<file path=customXml/itemProps3.xml><?xml version="1.0" encoding="utf-8"?>
<ds:datastoreItem xmlns:ds="http://schemas.openxmlformats.org/officeDocument/2006/customXml" ds:itemID="{9DC13203-8F0A-4978-A46E-0B0F50D52D16}">
  <ds:schemaRefs/>
</ds:datastoreItem>
</file>

<file path=customXml/itemProps4.xml><?xml version="1.0" encoding="utf-8"?>
<ds:datastoreItem xmlns:ds="http://schemas.openxmlformats.org/officeDocument/2006/customXml" ds:itemID="{62DA2226-BFC4-439E-A12C-C7B0032FB552}">
  <ds:schemaRefs/>
</ds:datastoreItem>
</file>

<file path=customXml/itemProps5.xml><?xml version="1.0" encoding="utf-8"?>
<ds:datastoreItem xmlns:ds="http://schemas.openxmlformats.org/officeDocument/2006/customXml" ds:itemID="{15B2ECA0-4E7B-4B08-89D3-F23A4CF3A85D}">
  <ds:schemaRefs>
    <ds:schemaRef ds:uri="http://schemas.microsoft.com/DataMashup"/>
  </ds:schemaRefs>
</ds:datastoreItem>
</file>

<file path=customXml/itemProps6.xml><?xml version="1.0" encoding="utf-8"?>
<ds:datastoreItem xmlns:ds="http://schemas.openxmlformats.org/officeDocument/2006/customXml" ds:itemID="{5DF77612-7041-4253-A57D-DBF2E899D40E}">
  <ds:schemaRefs/>
</ds:datastoreItem>
</file>

<file path=customXml/itemProps7.xml><?xml version="1.0" encoding="utf-8"?>
<ds:datastoreItem xmlns:ds="http://schemas.openxmlformats.org/officeDocument/2006/customXml" ds:itemID="{DAE310FC-F5A8-4D74-BF1B-FA61BDF871FC}">
  <ds:schemaRefs/>
</ds:datastoreItem>
</file>

<file path=customXml/itemProps8.xml><?xml version="1.0" encoding="utf-8"?>
<ds:datastoreItem xmlns:ds="http://schemas.openxmlformats.org/officeDocument/2006/customXml" ds:itemID="{9FEFD621-DC20-4A7A-8DC2-DB79212605A3}">
  <ds:schemaRefs/>
</ds:datastoreItem>
</file>

<file path=customXml/itemProps9.xml><?xml version="1.0" encoding="utf-8"?>
<ds:datastoreItem xmlns:ds="http://schemas.openxmlformats.org/officeDocument/2006/customXml" ds:itemID="{EC9B7FA7-682D-445A-AED9-5917377BAC94}">
  <ds:schemaRefs/>
</ds:datastoreItem>
</file>

<file path=customXml/itemProps10.xml><?xml version="1.0" encoding="utf-8"?>
<ds:datastoreItem xmlns:ds="http://schemas.openxmlformats.org/officeDocument/2006/customXml" ds:itemID="{335D3310-FE2A-41AC-AA46-BCFE32241A3C}">
  <ds:schemaRefs/>
</ds:datastoreItem>
</file>

<file path=customXml/itemProps11.xml><?xml version="1.0" encoding="utf-8"?>
<ds:datastoreItem xmlns:ds="http://schemas.openxmlformats.org/officeDocument/2006/customXml" ds:itemID="{A254CF90-C8F4-4DC8-834A-823A685F845C}">
  <ds:schemaRefs/>
</ds:datastoreItem>
</file>

<file path=customXml/itemProps12.xml><?xml version="1.0" encoding="utf-8"?>
<ds:datastoreItem xmlns:ds="http://schemas.openxmlformats.org/officeDocument/2006/customXml" ds:itemID="{D3A7B867-6EB5-445B-9344-5518F1775FF9}">
  <ds:schemaRefs/>
</ds:datastoreItem>
</file>

<file path=customXml/itemProps13.xml><?xml version="1.0" encoding="utf-8"?>
<ds:datastoreItem xmlns:ds="http://schemas.openxmlformats.org/officeDocument/2006/customXml" ds:itemID="{2FD0153C-F18B-4E6E-A3CA-327E9BED4D89}">
  <ds:schemaRefs/>
</ds:datastoreItem>
</file>

<file path=customXml/itemProps14.xml><?xml version="1.0" encoding="utf-8"?>
<ds:datastoreItem xmlns:ds="http://schemas.openxmlformats.org/officeDocument/2006/customXml" ds:itemID="{77189F13-A5E1-4ADD-9B64-E56A5EF4F708}">
  <ds:schemaRefs/>
</ds:datastoreItem>
</file>

<file path=customXml/itemProps15.xml><?xml version="1.0" encoding="utf-8"?>
<ds:datastoreItem xmlns:ds="http://schemas.openxmlformats.org/officeDocument/2006/customXml" ds:itemID="{B53DCFC2-384C-4786-82CA-ADB2727AED2E}">
  <ds:schemaRefs/>
</ds:datastoreItem>
</file>

<file path=customXml/itemProps16.xml><?xml version="1.0" encoding="utf-8"?>
<ds:datastoreItem xmlns:ds="http://schemas.openxmlformats.org/officeDocument/2006/customXml" ds:itemID="{73FD90EB-D162-447D-B9E2-9B1375A925DE}">
  <ds:schemaRefs/>
</ds:datastoreItem>
</file>

<file path=customXml/itemProps17.xml><?xml version="1.0" encoding="utf-8"?>
<ds:datastoreItem xmlns:ds="http://schemas.openxmlformats.org/officeDocument/2006/customXml" ds:itemID="{932892A2-4660-44C4-83DC-3FBD36157BE0}">
  <ds:schemaRefs/>
</ds:datastoreItem>
</file>

<file path=customXml/itemProps18.xml><?xml version="1.0" encoding="utf-8"?>
<ds:datastoreItem xmlns:ds="http://schemas.openxmlformats.org/officeDocument/2006/customXml" ds:itemID="{8CC4A3D7-33FA-495E-B0CF-A67E7D0073C3}">
  <ds:schemaRefs/>
</ds:datastoreItem>
</file>

<file path=customXml/itemProps19.xml><?xml version="1.0" encoding="utf-8"?>
<ds:datastoreItem xmlns:ds="http://schemas.openxmlformats.org/officeDocument/2006/customXml" ds:itemID="{7C175604-0588-473C-93EF-77A4D1C194D4}">
  <ds:schemaRefs/>
</ds:datastoreItem>
</file>

<file path=customXml/itemProps20.xml><?xml version="1.0" encoding="utf-8"?>
<ds:datastoreItem xmlns:ds="http://schemas.openxmlformats.org/officeDocument/2006/customXml" ds:itemID="{203B3455-5CCF-43E0-BCF4-AD08C64173BC}">
  <ds:schemaRefs/>
</ds:datastoreItem>
</file>

<file path=customXml/itemProps21.xml><?xml version="1.0" encoding="utf-8"?>
<ds:datastoreItem xmlns:ds="http://schemas.openxmlformats.org/officeDocument/2006/customXml" ds:itemID="{D54D24A3-5818-4D55-94A6-23AE38C1AEAC}">
  <ds:schemaRefs/>
</ds:datastoreItem>
</file>

<file path=customXml/itemProps22.xml><?xml version="1.0" encoding="utf-8"?>
<ds:datastoreItem xmlns:ds="http://schemas.openxmlformats.org/officeDocument/2006/customXml" ds:itemID="{007F69BE-A5C0-4C78-806E-C22A8FE9A2C4}">
  <ds:schemaRefs/>
</ds:datastoreItem>
</file>

<file path=customXml/itemProps23.xml><?xml version="1.0" encoding="utf-8"?>
<ds:datastoreItem xmlns:ds="http://schemas.openxmlformats.org/officeDocument/2006/customXml" ds:itemID="{1FC4988E-33C4-4536-BAAC-5A2060DE75CE}">
  <ds:schemaRefs/>
</ds:datastoreItem>
</file>

<file path=customXml/itemProps24.xml><?xml version="1.0" encoding="utf-8"?>
<ds:datastoreItem xmlns:ds="http://schemas.openxmlformats.org/officeDocument/2006/customXml" ds:itemID="{6EB4FBEE-C427-4F28-8E6A-3181E7E88F11}">
  <ds:schemaRefs/>
</ds:datastoreItem>
</file>

<file path=customXml/itemProps25.xml><?xml version="1.0" encoding="utf-8"?>
<ds:datastoreItem xmlns:ds="http://schemas.openxmlformats.org/officeDocument/2006/customXml" ds:itemID="{821F1EE9-6725-426F-A09F-89B4D3FD5574}">
  <ds:schemaRefs/>
</ds:datastoreItem>
</file>

<file path=customXml/itemProps26.xml><?xml version="1.0" encoding="utf-8"?>
<ds:datastoreItem xmlns:ds="http://schemas.openxmlformats.org/officeDocument/2006/customXml" ds:itemID="{4F316F90-5ECF-4375-8D96-A67DBF609EC8}">
  <ds:schemaRefs/>
</ds:datastoreItem>
</file>

<file path=customXml/itemProps27.xml><?xml version="1.0" encoding="utf-8"?>
<ds:datastoreItem xmlns:ds="http://schemas.openxmlformats.org/officeDocument/2006/customXml" ds:itemID="{DD1E50C8-FB8E-4936-88FC-091FD9CDACFC}">
  <ds:schemaRefs/>
</ds:datastoreItem>
</file>

<file path=customXml/itemProps28.xml><?xml version="1.0" encoding="utf-8"?>
<ds:datastoreItem xmlns:ds="http://schemas.openxmlformats.org/officeDocument/2006/customXml" ds:itemID="{784A3CF0-AAA4-409E-A554-2D52C6A43BE7}">
  <ds:schemaRefs/>
</ds:datastoreItem>
</file>

<file path=customXml/itemProps29.xml><?xml version="1.0" encoding="utf-8"?>
<ds:datastoreItem xmlns:ds="http://schemas.openxmlformats.org/officeDocument/2006/customXml" ds:itemID="{06BB634B-BC06-4BD8-AE03-602A2232D6FF}">
  <ds:schemaRefs/>
</ds:datastoreItem>
</file>

<file path=customXml/itemProps30.xml><?xml version="1.0" encoding="utf-8"?>
<ds:datastoreItem xmlns:ds="http://schemas.openxmlformats.org/officeDocument/2006/customXml" ds:itemID="{3F11EC56-AD95-47E1-8F8E-6377B7490F54}">
  <ds:schemaRefs/>
</ds:datastoreItem>
</file>

<file path=customXml/itemProps31.xml><?xml version="1.0" encoding="utf-8"?>
<ds:datastoreItem xmlns:ds="http://schemas.openxmlformats.org/officeDocument/2006/customXml" ds:itemID="{A5AD2B6A-0897-4850-80E9-F84484BF3E69}">
  <ds:schemaRefs/>
</ds:datastoreItem>
</file>

<file path=customXml/itemProps32.xml><?xml version="1.0" encoding="utf-8"?>
<ds:datastoreItem xmlns:ds="http://schemas.openxmlformats.org/officeDocument/2006/customXml" ds:itemID="{7065923D-02EB-4305-B2F0-0FFF4C5D9294}">
  <ds:schemaRefs/>
</ds:datastoreItem>
</file>

<file path=customXml/itemProps33.xml><?xml version="1.0" encoding="utf-8"?>
<ds:datastoreItem xmlns:ds="http://schemas.openxmlformats.org/officeDocument/2006/customXml" ds:itemID="{A2BD205F-C37B-4771-A95A-03FC43ABD1B6}">
  <ds:schemaRefs/>
</ds:datastoreItem>
</file>

<file path=customXml/itemProps34.xml><?xml version="1.0" encoding="utf-8"?>
<ds:datastoreItem xmlns:ds="http://schemas.openxmlformats.org/officeDocument/2006/customXml" ds:itemID="{007E6596-E776-4F62-B8FC-6A35922677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Average wait time trend</vt:lpstr>
      <vt:lpstr>Satisfaction score daily trend</vt:lpstr>
      <vt:lpstr>Sheet2</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mohammed ghouse</dc:creator>
  <cp:lastModifiedBy>syed  mohammed ghouse</cp:lastModifiedBy>
  <dcterms:created xsi:type="dcterms:W3CDTF">2026-07-14T12:13:47Z</dcterms:created>
  <dcterms:modified xsi:type="dcterms:W3CDTF">2026-07-19T05:05:23Z</dcterms:modified>
</cp:coreProperties>
</file>